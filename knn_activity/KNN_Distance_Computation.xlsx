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aled Feature Values" sheetId="1" state="visible" r:id="rId3"/>
    <sheet name="Step-by-Step Computation" sheetId="2" state="visible" r:id="rId4"/>
    <sheet name="Distance Summary" sheetId="3" state="visible" r:id="rId5"/>
    <sheet name="Model Accuracy (K=3,5,7)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<sst xmlns="http://schemas.openxmlformats.org/spreadsheetml/2006/main" count="195" uniqueCount="82">
  <si>
    <t xml:space="preserve">KNN – Standardized Feature Values (Test Instance &amp; Top 10 Neighbours)</t>
  </si>
  <si>
    <t xml:space="preserve">Instance</t>
  </si>
  <si>
    <t xml:space="preserve">Pregnancies</t>
  </si>
  <si>
    <t xml:space="preserve">Glucose</t>
  </si>
  <si>
    <t xml:space="preserve">BloodPressure</t>
  </si>
  <si>
    <t xml:space="preserve">SkinThickness</t>
  </si>
  <si>
    <t xml:space="preserve">Insulin</t>
  </si>
  <si>
    <t xml:space="preserve">BMI</t>
  </si>
  <si>
    <t xml:space="preserve">DiabetesPedigreeFunction</t>
  </si>
  <si>
    <t xml:space="preserve">Age</t>
  </si>
  <si>
    <t xml:space="preserve">True Label</t>
  </si>
  <si>
    <t xml:space="preserve">#</t>
  </si>
  <si>
    <t xml:space="preserve">TEST</t>
  </si>
  <si>
    <t xml:space="preserve">Non-diabetic (0)</t>
  </si>
  <si>
    <t xml:space="preserve">Train [226]</t>
  </si>
  <si>
    <t xml:space="preserve">Diabetic (1)</t>
  </si>
  <si>
    <t xml:space="preserve">Train [521]</t>
  </si>
  <si>
    <t xml:space="preserve">Train [403]</t>
  </si>
  <si>
    <t xml:space="preserve">Train [430]</t>
  </si>
  <si>
    <t xml:space="preserve">Train [321]</t>
  </si>
  <si>
    <t xml:space="preserve">Train [90]</t>
  </si>
  <si>
    <t xml:space="preserve">Train [18]</t>
  </si>
  <si>
    <t xml:space="preserve">Train [213]</t>
  </si>
  <si>
    <t xml:space="preserve">Train [260]</t>
  </si>
  <si>
    <t xml:space="preserve">Train [412]</t>
  </si>
  <si>
    <t xml:space="preserve">Manual Euclidean Distance Computation – Step by Step</t>
  </si>
  <si>
    <t xml:space="preserve">Test Instance: Pregnancies=0.6399  Glucose=−0.7777  BloodPressure=−1.1901  SkinThickness=0.4430  Insulin=0.5714  BMI=0.2248  DiabPedigree=−0.1265  Age=0.8304</t>
  </si>
  <si>
    <t xml:space="preserve">Neighbour</t>
  </si>
  <si>
    <t xml:space="preserve">Feature</t>
  </si>
  <si>
    <t xml:space="preserve">Test (pᵢ)</t>
  </si>
  <si>
    <t xml:space="preserve">Train (qᵢ)</t>
  </si>
  <si>
    <t xml:space="preserve">pᵢ − qᵢ</t>
  </si>
  <si>
    <t xml:space="preserve">(pᵢ − qᵢ)²</t>
  </si>
  <si>
    <t xml:space="preserve">#1  Train[226]</t>
  </si>
  <si>
    <t xml:space="preserve">Sum of Squared Differences  →</t>
  </si>
  <si>
    <t xml:space="preserve">d = √(sum)  →  Euclidean Distance to #1  Train[226]</t>
  </si>
  <si>
    <t xml:space="preserve">#2  Train[521]</t>
  </si>
  <si>
    <t xml:space="preserve">d = √(sum)  →  Euclidean Distance to #2  Train[521]</t>
  </si>
  <si>
    <t xml:space="preserve">#3  Train[403]</t>
  </si>
  <si>
    <t xml:space="preserve">d = √(sum)  →  Euclidean Distance to #3  Train[403]</t>
  </si>
  <si>
    <t xml:space="preserve">#4  Train[430]</t>
  </si>
  <si>
    <t xml:space="preserve">d = √(sum)  →  Euclidean Distance to #4  Train[430]</t>
  </si>
  <si>
    <t xml:space="preserve">#5  Train[321]</t>
  </si>
  <si>
    <t xml:space="preserve">d = √(sum)  →  Euclidean Distance to #5  Train[321]</t>
  </si>
  <si>
    <t xml:space="preserve">#6  Train[90]</t>
  </si>
  <si>
    <t xml:space="preserve">d = √(sum)  →  Euclidean Distance to #6  Train[90]</t>
  </si>
  <si>
    <t xml:space="preserve">#7  Train[18]</t>
  </si>
  <si>
    <t xml:space="preserve">d = √(sum)  →  Euclidean Distance to #7  Train[18]</t>
  </si>
  <si>
    <t xml:space="preserve">#8  Train[213]</t>
  </si>
  <si>
    <t xml:space="preserve">d = √(sum)  →  Euclidean Distance to #8  Train[213]</t>
  </si>
  <si>
    <t xml:space="preserve">#9  Train[260]</t>
  </si>
  <si>
    <t xml:space="preserve">d = √(sum)  →  Euclidean Distance to #9  Train[260]</t>
  </si>
  <si>
    <t xml:space="preserve">#10  Train[412]</t>
  </si>
  <si>
    <t xml:space="preserve">d = √(sum)  →  Euclidean Distance to #10  Train[412]</t>
  </si>
  <si>
    <t xml:space="preserve">KNN Distance Summary – Top 10 Nearest Neighbours</t>
  </si>
  <si>
    <t xml:space="preserve">Formula: d = √ [ Σ (pᵢ − qᵢ)² ]  for i = 1…8 features  |  All values are Z-score standardized</t>
  </si>
  <si>
    <t xml:space="preserve">Rank</t>
  </si>
  <si>
    <t xml:space="preserve">Train Index</t>
  </si>
  <si>
    <t xml:space="preserve">Distance Formula (expanded)</t>
  </si>
  <si>
    <t xml:space="preserve">Distance</t>
  </si>
  <si>
    <t xml:space="preserve">√[ (0.6399−(0.6399))² + (−0.7777−(−0.2188))² + (−1.1901−(−1.0246))² + (0.4430−(1.1259))² + (0.5714−(−0.1815))² + (0.2248−(0.1812))² + (−0.1265−(−0.6852))² + (0.8304−(0.5751))² ]</t>
  </si>
  <si>
    <t xml:space="preserve">√[ (0.6399−(0.9369))² + (−0.7777−(−0.2517))² + (−1.1901−(−0.5283))² + (0.4430−(−0.0123))² + (0.5714−(−0.1815))² + (0.2248−(0.0502))² + (−0.1265−(−0.6459))² + (0.8304−(0.7453))² ]</t>
  </si>
  <si>
    <t xml:space="preserve">√[ (0.6399−(0.6399))² + (−0.7777−(−0.9749))² + (−1.1901−(−0.8592))² + (0.4430−(0.3292))² + (0.5714−(−0.1700))² + (0.2248−(−0.0663))² + (−0.1265−(−1.1684))² + (0.8304−(1.0856))² ]</t>
  </si>
  <si>
    <t xml:space="preserve">√[ (0.6399−(0.3430))² + (−0.7777−(−0.2847))² + (−1.1901−(−0.1920))² + (0.4430−(0.2156))² + (0.5714−(−0.1815))² + (0.2248−(0.1376))² + (−0.1265−(−0.4559))² + (0.8304−(0.5751))² ]</t>
  </si>
  <si>
    <t xml:space="preserve">√[ (0.6399−(0.6399))² + (−0.7777−(−0.4823))² + (−1.1901−(−0.6920))² + (0.4430−(0.6696))² + (0.5714−(0.5714))² + (0.2248−(0.4710))² + (−0.1265−(−0.3553))² + (0.8304−(0.5751))² ]</t>
  </si>
  <si>
    <t xml:space="preserve">√[ (0.6399−(0.6399))² + (−0.7777−(−0.4823))² + (−1.1901−(−0.3556))² + (0.4430−(0.4430))² + (0.5714−(0.5714))² + (0.2248−(0.6581))² + (−0.1265−(−0.8754))² + (0.8304−(0.4300))² ]</t>
  </si>
  <si>
    <t xml:space="preserve">√[ (0.6399−(0.3430))² + (−0.7777−(−0.6130))² + (−1.1901−(−0.3556))² + (0.4430−(0.5563))² + (0.5714−(−0.2070))² + (0.2248−(0.3565))² + (−0.1265−(−0.8037))² + (0.8304−(0.5751))² ]</t>
  </si>
  <si>
    <t xml:space="preserve">√[ (0.6399−(0.6399))² + (−0.7777−(−0.3516))² + (−1.1901−(−0.5283))² + (0.4430−(0.6696))² + (0.5714−(−0.1815))² + (0.2248−(0.4284))² + (−0.1265−(−0.2546))² + (0.8304−(1.0856))² ]</t>
  </si>
  <si>
    <t xml:space="preserve">√[ (0.6399−(0.6399))² + (−0.7777−(−0.9091))² + (−1.1901−(−1.1901))² + (0.4430−(0.4430))² + (0.5714−(0.5714))² + (0.2248−(0.3565))² + (−0.1265−(−0.5841))² + (0.8304−(0.7453))² ]</t>
  </si>
  <si>
    <t xml:space="preserve">√[ (0.6399−(0.6399))² + (−0.7777−(−0.5152))² + (−1.1901−(−0.5283))² + (0.4430−(0.4430))² + (0.5714−(−0.0560))² + (0.2248−(0.0940))² + (−0.1265−(−0.5841))² + (0.8304−(1.0856))² ]</t>
  </si>
  <si>
    <t xml:space="preserve">K=3 Vote: Neighbour #1 → Diabetic  |  Neighbour #2 → Diabetic  |  Neighbour #3 → Non-diabetic  ➜  Majority = DIABETIC (1)</t>
  </si>
  <si>
    <t xml:space="preserve">KNN Model Evaluation – Accuracy &amp; Confusion Matrix</t>
  </si>
  <si>
    <t xml:space="preserve">K</t>
  </si>
  <si>
    <t xml:space="preserve">Accuracy (%)</t>
  </si>
  <si>
    <t xml:space="preserve">TN</t>
  </si>
  <si>
    <t xml:space="preserve">FP</t>
  </si>
  <si>
    <t xml:space="preserve">FN</t>
  </si>
  <si>
    <t xml:space="preserve">TP</t>
  </si>
  <si>
    <t xml:space="preserve">Precision</t>
  </si>
  <si>
    <t xml:space="preserve">Recall</t>
  </si>
  <si>
    <t xml:space="preserve">LR</t>
  </si>
  <si>
    <t xml:space="preserve">—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</si>
</sst>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"/>
    <numFmt numFmtId="166" formatCode="0.000000"/>
    <numFmt numFmtId="167" formatCode="0.0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D4ED8"/>
      <name val="Arial"/>
      <family val="0"/>
      <charset val="1"/>
    </font>
    <font>
      <b val="true"/>
      <sz val="10"/>
      <color rgb="FF166534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991B1B"/>
      <name val="Arial"/>
      <family val="0"/>
      <charset val="1"/>
    </font>
    <font>
      <i val="true"/>
      <sz val="9"/>
      <color rgb="FF374151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92400E"/>
      <name val="Arial"/>
      <family val="0"/>
      <charset val="1"/>
    </font>
    <font>
      <b val="true"/>
      <sz val="11"/>
      <color rgb="FF166534"/>
      <name val="Arial"/>
      <family val="0"/>
      <charset val="1"/>
    </font>
    <font>
      <i val="true"/>
      <sz val="10"/>
      <color rgb="FF374151"/>
      <name val="Arial"/>
      <family val="0"/>
      <charset val="1"/>
    </font>
    <font>
      <sz val="9"/>
      <color rgb="FF374151"/>
      <name val="Courier New"/>
      <family val="0"/>
      <charset val="1"/>
    </font>
    <font>
      <b val="true"/>
      <sz val="11"/>
      <color rgb="FF92400E"/>
      <name val="Arial"/>
      <family val="0"/>
      <charset val="1"/>
    </font>
    <font>
      <i val="true"/>
      <sz val="10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DBEAFE"/>
        <bgColor rgb="FFEFF6FF"/>
      </patternFill>
    </fill>
    <fill>
      <patternFill patternType="solid">
        <fgColor rgb="FFD1FAE5"/>
        <bgColor rgb="FFDBEAFE"/>
      </patternFill>
    </fill>
    <fill>
      <patternFill patternType="solid">
        <fgColor rgb="FFFFFFFF"/>
        <bgColor rgb="FFEFF6FF"/>
      </patternFill>
    </fill>
    <fill>
      <patternFill patternType="solid">
        <fgColor rgb="FFFEE2E2"/>
        <bgColor rgb="FFEFF6FF"/>
      </patternFill>
    </fill>
    <fill>
      <patternFill patternType="solid">
        <fgColor rgb="FFEFF6FF"/>
        <bgColor rgb="FFFFFFFF"/>
      </patternFill>
    </fill>
    <fill>
      <patternFill patternType="solid">
        <fgColor rgb="FFFEF9C3"/>
        <bgColor rgb="FFFFFF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9C3"/>
      <rgbColor rgb="FFDBEAFE"/>
      <rgbColor rgb="FF660066"/>
      <rgbColor rgb="FFFF8080"/>
      <rgbColor rgb="FF1D4ED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F"/>
      <rgbColor rgb="FFD1FAE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2400E"/>
      <rgbColor rgb="FF993366"/>
      <rgbColor rgb="FF1E3A8A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10" min="3" style="0" width="16"/>
    <col collapsed="false" customWidth="true" hidden="false" outlineLevel="0" max="11" min="11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6" hidden="false" customHeight="true" outlineLevel="0" collapsed="false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customFormat="false" ht="19.5" hidden="false" customHeight="true" outlineLevel="0" collapsed="false">
      <c r="A3" s="3" t="s">
        <v>11</v>
      </c>
      <c r="B3" s="3" t="s">
        <v>12</v>
      </c>
      <c r="C3" s="4" t="n">
        <v>0.6399</v>
      </c>
      <c r="D3" s="4" t="n">
        <v>-0.7777</v>
      </c>
      <c r="E3" s="4" t="n">
        <v>-1.1901</v>
      </c>
      <c r="F3" s="4" t="n">
        <v>0.443</v>
      </c>
      <c r="G3" s="4" t="n">
        <v>0.5714</v>
      </c>
      <c r="H3" s="4" t="n">
        <v>0.2248</v>
      </c>
      <c r="I3" s="4" t="n">
        <v>-0.1265</v>
      </c>
      <c r="J3" s="4" t="n">
        <v>0.8304</v>
      </c>
      <c r="K3" s="5" t="s">
        <v>13</v>
      </c>
    </row>
    <row r="4" customFormat="false" ht="18" hidden="false" customHeight="true" outlineLevel="0" collapsed="false">
      <c r="A4" s="6" t="n">
        <v>1</v>
      </c>
      <c r="B4" s="6" t="s">
        <v>14</v>
      </c>
      <c r="C4" s="7" t="n">
        <v>0.6399</v>
      </c>
      <c r="D4" s="7" t="n">
        <v>-0.2188</v>
      </c>
      <c r="E4" s="7" t="n">
        <v>-1.0246</v>
      </c>
      <c r="F4" s="7" t="n">
        <v>1.1259</v>
      </c>
      <c r="G4" s="7" t="n">
        <v>-0.1815</v>
      </c>
      <c r="H4" s="7" t="n">
        <v>0.1812</v>
      </c>
      <c r="I4" s="7" t="n">
        <v>-0.6852</v>
      </c>
      <c r="J4" s="7" t="n">
        <v>0.5751</v>
      </c>
      <c r="K4" s="8" t="s">
        <v>15</v>
      </c>
    </row>
    <row r="5" customFormat="false" ht="18" hidden="false" customHeight="true" outlineLevel="0" collapsed="false">
      <c r="A5" s="9" t="n">
        <v>2</v>
      </c>
      <c r="B5" s="9" t="s">
        <v>16</v>
      </c>
      <c r="C5" s="10" t="n">
        <v>0.9369</v>
      </c>
      <c r="D5" s="10" t="n">
        <v>-0.2517</v>
      </c>
      <c r="E5" s="10" t="n">
        <v>-0.5283</v>
      </c>
      <c r="F5" s="10" t="n">
        <v>-0.0123</v>
      </c>
      <c r="G5" s="10" t="n">
        <v>-0.1815</v>
      </c>
      <c r="H5" s="10" t="n">
        <v>0.0502</v>
      </c>
      <c r="I5" s="10" t="n">
        <v>-0.6459</v>
      </c>
      <c r="J5" s="10" t="n">
        <v>0.7453</v>
      </c>
      <c r="K5" s="8" t="s">
        <v>15</v>
      </c>
    </row>
    <row r="6" customFormat="false" ht="18" hidden="false" customHeight="true" outlineLevel="0" collapsed="false">
      <c r="A6" s="6" t="n">
        <v>3</v>
      </c>
      <c r="B6" s="6" t="s">
        <v>17</v>
      </c>
      <c r="C6" s="7" t="n">
        <v>0.6399</v>
      </c>
      <c r="D6" s="7" t="n">
        <v>-0.9749</v>
      </c>
      <c r="E6" s="7" t="n">
        <v>-0.8592</v>
      </c>
      <c r="F6" s="7" t="n">
        <v>0.3292</v>
      </c>
      <c r="G6" s="7" t="n">
        <v>-0.17</v>
      </c>
      <c r="H6" s="7" t="n">
        <v>-0.0663</v>
      </c>
      <c r="I6" s="7" t="n">
        <v>-1.1684</v>
      </c>
      <c r="J6" s="7" t="n">
        <v>1.0856</v>
      </c>
      <c r="K6" s="5" t="s">
        <v>13</v>
      </c>
    </row>
    <row r="7" customFormat="false" ht="18" hidden="false" customHeight="true" outlineLevel="0" collapsed="false">
      <c r="A7" s="9" t="n">
        <v>4</v>
      </c>
      <c r="B7" s="9" t="s">
        <v>18</v>
      </c>
      <c r="C7" s="10" t="n">
        <v>0.343</v>
      </c>
      <c r="D7" s="10" t="n">
        <v>-0.2847</v>
      </c>
      <c r="E7" s="10" t="n">
        <v>-0.192</v>
      </c>
      <c r="F7" s="10" t="n">
        <v>0.2156</v>
      </c>
      <c r="G7" s="10" t="n">
        <v>-0.1815</v>
      </c>
      <c r="H7" s="10" t="n">
        <v>0.1376</v>
      </c>
      <c r="I7" s="10" t="n">
        <v>-0.4559</v>
      </c>
      <c r="J7" s="10" t="n">
        <v>0.5751</v>
      </c>
      <c r="K7" s="8" t="s">
        <v>15</v>
      </c>
    </row>
    <row r="8" customFormat="false" ht="18" hidden="false" customHeight="true" outlineLevel="0" collapsed="false">
      <c r="A8" s="6" t="n">
        <v>5</v>
      </c>
      <c r="B8" s="6" t="s">
        <v>19</v>
      </c>
      <c r="C8" s="7" t="n">
        <v>0.6399</v>
      </c>
      <c r="D8" s="7" t="n">
        <v>-0.4823</v>
      </c>
      <c r="E8" s="7" t="n">
        <v>-0.692</v>
      </c>
      <c r="F8" s="7" t="n">
        <v>0.6696</v>
      </c>
      <c r="G8" s="7" t="n">
        <v>0.5714</v>
      </c>
      <c r="H8" s="7" t="n">
        <v>0.471</v>
      </c>
      <c r="I8" s="7" t="n">
        <v>-0.3553</v>
      </c>
      <c r="J8" s="7" t="n">
        <v>0.5751</v>
      </c>
      <c r="K8" s="8" t="s">
        <v>15</v>
      </c>
    </row>
    <row r="9" customFormat="false" ht="18" hidden="false" customHeight="true" outlineLevel="0" collapsed="false">
      <c r="A9" s="9" t="n">
        <v>6</v>
      </c>
      <c r="B9" s="9" t="s">
        <v>20</v>
      </c>
      <c r="C9" s="10" t="n">
        <v>0.6399</v>
      </c>
      <c r="D9" s="10" t="n">
        <v>-0.4823</v>
      </c>
      <c r="E9" s="10" t="n">
        <v>-0.3556</v>
      </c>
      <c r="F9" s="10" t="n">
        <v>0.443</v>
      </c>
      <c r="G9" s="10" t="n">
        <v>0.5714</v>
      </c>
      <c r="H9" s="10" t="n">
        <v>0.6581</v>
      </c>
      <c r="I9" s="10" t="n">
        <v>-0.8754</v>
      </c>
      <c r="J9" s="10" t="n">
        <v>0.43</v>
      </c>
      <c r="K9" s="5" t="s">
        <v>13</v>
      </c>
    </row>
    <row r="10" customFormat="false" ht="18" hidden="false" customHeight="true" outlineLevel="0" collapsed="false">
      <c r="A10" s="6" t="n">
        <v>7</v>
      </c>
      <c r="B10" s="6" t="s">
        <v>21</v>
      </c>
      <c r="C10" s="7" t="n">
        <v>0.343</v>
      </c>
      <c r="D10" s="7" t="n">
        <v>-0.613</v>
      </c>
      <c r="E10" s="7" t="n">
        <v>-0.3556</v>
      </c>
      <c r="F10" s="7" t="n">
        <v>0.5563</v>
      </c>
      <c r="G10" s="7" t="n">
        <v>-0.207</v>
      </c>
      <c r="H10" s="7" t="n">
        <v>0.3565</v>
      </c>
      <c r="I10" s="7" t="n">
        <v>-0.8037</v>
      </c>
      <c r="J10" s="7" t="n">
        <v>0.5751</v>
      </c>
      <c r="K10" s="8" t="s">
        <v>15</v>
      </c>
    </row>
    <row r="11" customFormat="false" ht="18" hidden="false" customHeight="true" outlineLevel="0" collapsed="false">
      <c r="A11" s="9" t="n">
        <v>8</v>
      </c>
      <c r="B11" s="9" t="s">
        <v>22</v>
      </c>
      <c r="C11" s="10" t="n">
        <v>0.6399</v>
      </c>
      <c r="D11" s="10" t="n">
        <v>-0.3516</v>
      </c>
      <c r="E11" s="10" t="n">
        <v>-0.5283</v>
      </c>
      <c r="F11" s="10" t="n">
        <v>0.6696</v>
      </c>
      <c r="G11" s="10" t="n">
        <v>-0.1815</v>
      </c>
      <c r="H11" s="10" t="n">
        <v>0.4284</v>
      </c>
      <c r="I11" s="10" t="n">
        <v>-0.2546</v>
      </c>
      <c r="J11" s="10" t="n">
        <v>1.0856</v>
      </c>
      <c r="K11" s="5" t="s">
        <v>13</v>
      </c>
    </row>
    <row r="12" customFormat="false" ht="18" hidden="false" customHeight="true" outlineLevel="0" collapsed="false">
      <c r="A12" s="6" t="n">
        <v>9</v>
      </c>
      <c r="B12" s="6" t="s">
        <v>23</v>
      </c>
      <c r="C12" s="7" t="n">
        <v>0.6399</v>
      </c>
      <c r="D12" s="7" t="n">
        <v>-0.9091</v>
      </c>
      <c r="E12" s="7" t="n">
        <v>-1.1901</v>
      </c>
      <c r="F12" s="7" t="n">
        <v>0.443</v>
      </c>
      <c r="G12" s="7" t="n">
        <v>0.5714</v>
      </c>
      <c r="H12" s="7" t="n">
        <v>0.3565</v>
      </c>
      <c r="I12" s="7" t="n">
        <v>-0.5841</v>
      </c>
      <c r="J12" s="7" t="n">
        <v>0.7453</v>
      </c>
      <c r="K12" s="5" t="s">
        <v>13</v>
      </c>
    </row>
    <row r="13" customFormat="false" ht="18" hidden="false" customHeight="true" outlineLevel="0" collapsed="false">
      <c r="A13" s="9" t="n">
        <v>10</v>
      </c>
      <c r="B13" s="9" t="s">
        <v>24</v>
      </c>
      <c r="C13" s="10" t="n">
        <v>0.6399</v>
      </c>
      <c r="D13" s="10" t="n">
        <v>-0.5152</v>
      </c>
      <c r="E13" s="10" t="n">
        <v>-0.5283</v>
      </c>
      <c r="F13" s="10" t="n">
        <v>0.443</v>
      </c>
      <c r="G13" s="10" t="n">
        <v>-0.056</v>
      </c>
      <c r="H13" s="10" t="n">
        <v>0.094</v>
      </c>
      <c r="I13" s="10" t="n">
        <v>-0.5841</v>
      </c>
      <c r="J13" s="10" t="n">
        <v>1.0856</v>
      </c>
      <c r="K13" s="8" t="s">
        <v>15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5" min="3" style="0" width="13"/>
    <col collapsed="false" customWidth="true" hidden="false" outlineLevel="0" max="6" min="6" style="0" width="16"/>
  </cols>
  <sheetData>
    <row r="1" customFormat="false" ht="27.75" hidden="false" customHeight="true" outlineLevel="0" collapsed="false">
      <c r="A1" s="1" t="s">
        <v>25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11" t="s">
        <v>26</v>
      </c>
      <c r="B2" s="11"/>
      <c r="C2" s="11"/>
      <c r="D2" s="11"/>
      <c r="E2" s="11"/>
      <c r="F2" s="11"/>
    </row>
    <row r="3" customFormat="false" ht="24" hidden="false" customHeight="true" outlineLevel="0" collapsed="false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</row>
    <row r="4" customFormat="false" ht="18" hidden="false" customHeight="true" outlineLevel="0" collapsed="false">
      <c r="A4" s="12" t="s">
        <v>33</v>
      </c>
      <c r="B4" s="9" t="s">
        <v>2</v>
      </c>
      <c r="C4" s="13" t="n">
        <f aca="false">'Scaled Feature Values'!C3</f>
        <v>0.6399</v>
      </c>
      <c r="D4" s="14" t="n">
        <f aca="false">'Scaled Feature Values'!C4</f>
        <v>0.6399</v>
      </c>
      <c r="E4" s="14" t="n">
        <f aca="false">C4-D4</f>
        <v>0</v>
      </c>
      <c r="F4" s="15" t="n">
        <f aca="false">E4^2</f>
        <v>0</v>
      </c>
    </row>
    <row r="5" customFormat="false" ht="18" hidden="false" customHeight="true" outlineLevel="0" collapsed="false">
      <c r="A5" s="12"/>
      <c r="B5" s="6" t="s">
        <v>3</v>
      </c>
      <c r="C5" s="16" t="n">
        <f aca="false">'Scaled Feature Values'!D3</f>
        <v>-0.7777</v>
      </c>
      <c r="D5" s="17" t="n">
        <f aca="false">'Scaled Feature Values'!D4</f>
        <v>-0.2188</v>
      </c>
      <c r="E5" s="17" t="n">
        <f aca="false">C5-D5</f>
        <v>-0.5589</v>
      </c>
      <c r="F5" s="18" t="n">
        <f aca="false">E5^2</f>
        <v>0.31236921</v>
      </c>
    </row>
    <row r="6" customFormat="false" ht="18" hidden="false" customHeight="true" outlineLevel="0" collapsed="false">
      <c r="A6" s="12"/>
      <c r="B6" s="9" t="s">
        <v>4</v>
      </c>
      <c r="C6" s="13" t="n">
        <f aca="false">'Scaled Feature Values'!E3</f>
        <v>-1.1901</v>
      </c>
      <c r="D6" s="14" t="n">
        <f aca="false">'Scaled Feature Values'!E4</f>
        <v>-1.0246</v>
      </c>
      <c r="E6" s="14" t="n">
        <f aca="false">C6-D6</f>
        <v>-0.1655</v>
      </c>
      <c r="F6" s="15" t="n">
        <f aca="false">E6^2</f>
        <v>0.02739025</v>
      </c>
    </row>
    <row r="7" customFormat="false" ht="18" hidden="false" customHeight="true" outlineLevel="0" collapsed="false">
      <c r="A7" s="12"/>
      <c r="B7" s="6" t="s">
        <v>5</v>
      </c>
      <c r="C7" s="16" t="n">
        <f aca="false">'Scaled Feature Values'!F3</f>
        <v>0.443</v>
      </c>
      <c r="D7" s="17" t="n">
        <f aca="false">'Scaled Feature Values'!F4</f>
        <v>1.1259</v>
      </c>
      <c r="E7" s="17" t="n">
        <f aca="false">C7-D7</f>
        <v>-0.6829</v>
      </c>
      <c r="F7" s="18" t="n">
        <f aca="false">E7^2</f>
        <v>0.46635241</v>
      </c>
    </row>
    <row r="8" customFormat="false" ht="18" hidden="false" customHeight="true" outlineLevel="0" collapsed="false">
      <c r="A8" s="12"/>
      <c r="B8" s="9" t="s">
        <v>6</v>
      </c>
      <c r="C8" s="13" t="n">
        <f aca="false">'Scaled Feature Values'!G3</f>
        <v>0.5714</v>
      </c>
      <c r="D8" s="14" t="n">
        <f aca="false">'Scaled Feature Values'!G4</f>
        <v>-0.1815</v>
      </c>
      <c r="E8" s="14" t="n">
        <f aca="false">C8-D8</f>
        <v>0.7529</v>
      </c>
      <c r="F8" s="15" t="n">
        <f aca="false">E8^2</f>
        <v>0.56685841</v>
      </c>
    </row>
    <row r="9" customFormat="false" ht="18" hidden="false" customHeight="true" outlineLevel="0" collapsed="false">
      <c r="A9" s="12"/>
      <c r="B9" s="6" t="s">
        <v>7</v>
      </c>
      <c r="C9" s="16" t="n">
        <f aca="false">'Scaled Feature Values'!H3</f>
        <v>0.2248</v>
      </c>
      <c r="D9" s="17" t="n">
        <f aca="false">'Scaled Feature Values'!H4</f>
        <v>0.1812</v>
      </c>
      <c r="E9" s="17" t="n">
        <f aca="false">C9-D9</f>
        <v>0.0436</v>
      </c>
      <c r="F9" s="18" t="n">
        <f aca="false">E9^2</f>
        <v>0.00190096</v>
      </c>
    </row>
    <row r="10" customFormat="false" ht="18" hidden="false" customHeight="true" outlineLevel="0" collapsed="false">
      <c r="A10" s="12"/>
      <c r="B10" s="9" t="s">
        <v>8</v>
      </c>
      <c r="C10" s="13" t="n">
        <f aca="false">'Scaled Feature Values'!I3</f>
        <v>-0.1265</v>
      </c>
      <c r="D10" s="14" t="n">
        <f aca="false">'Scaled Feature Values'!I4</f>
        <v>-0.6852</v>
      </c>
      <c r="E10" s="14" t="n">
        <f aca="false">C10-D10</f>
        <v>0.5587</v>
      </c>
      <c r="F10" s="15" t="n">
        <f aca="false">E10^2</f>
        <v>0.31214569</v>
      </c>
    </row>
    <row r="11" customFormat="false" ht="18" hidden="false" customHeight="true" outlineLevel="0" collapsed="false">
      <c r="A11" s="12"/>
      <c r="B11" s="6" t="s">
        <v>9</v>
      </c>
      <c r="C11" s="16" t="n">
        <f aca="false">'Scaled Feature Values'!J3</f>
        <v>0.8304</v>
      </c>
      <c r="D11" s="17" t="n">
        <f aca="false">'Scaled Feature Values'!J4</f>
        <v>0.5751</v>
      </c>
      <c r="E11" s="17" t="n">
        <f aca="false">C11-D11</f>
        <v>0.2553</v>
      </c>
      <c r="F11" s="18" t="n">
        <f aca="false">E11^2</f>
        <v>0.06517809</v>
      </c>
    </row>
    <row r="12" customFormat="false" ht="19.5" hidden="false" customHeight="true" outlineLevel="0" collapsed="false">
      <c r="A12" s="19" t="s">
        <v>34</v>
      </c>
      <c r="B12" s="19"/>
      <c r="C12" s="19"/>
      <c r="D12" s="19"/>
      <c r="E12" s="19"/>
      <c r="F12" s="20" t="n">
        <f aca="false">SUM(F4:F11)</f>
        <v>1.75219502</v>
      </c>
    </row>
    <row r="13" customFormat="false" ht="21.75" hidden="false" customHeight="true" outlineLevel="0" collapsed="false">
      <c r="A13" s="21" t="s">
        <v>35</v>
      </c>
      <c r="B13" s="21"/>
      <c r="C13" s="21"/>
      <c r="D13" s="21"/>
      <c r="E13" s="21"/>
      <c r="F13" s="22" t="n">
        <f aca="false">SQRT(F12)</f>
        <v>1.32370503511923</v>
      </c>
    </row>
    <row r="15" customFormat="false" ht="18" hidden="false" customHeight="true" outlineLevel="0" collapsed="false">
      <c r="A15" s="12" t="s">
        <v>36</v>
      </c>
      <c r="B15" s="9" t="s">
        <v>2</v>
      </c>
      <c r="C15" s="13" t="n">
        <f aca="false">'Scaled Feature Values'!C3</f>
        <v>0.6399</v>
      </c>
      <c r="D15" s="14" t="n">
        <f aca="false">'Scaled Feature Values'!C5</f>
        <v>0.9369</v>
      </c>
      <c r="E15" s="14" t="n">
        <f aca="false">C15-D15</f>
        <v>-0.297</v>
      </c>
      <c r="F15" s="15" t="n">
        <f aca="false">E15^2</f>
        <v>0.088209</v>
      </c>
    </row>
    <row r="16" customFormat="false" ht="18" hidden="false" customHeight="true" outlineLevel="0" collapsed="false">
      <c r="A16" s="12"/>
      <c r="B16" s="6" t="s">
        <v>3</v>
      </c>
      <c r="C16" s="16" t="n">
        <f aca="false">'Scaled Feature Values'!D3</f>
        <v>-0.7777</v>
      </c>
      <c r="D16" s="17" t="n">
        <f aca="false">'Scaled Feature Values'!D5</f>
        <v>-0.2517</v>
      </c>
      <c r="E16" s="17" t="n">
        <f aca="false">C16-D16</f>
        <v>-0.526</v>
      </c>
      <c r="F16" s="18" t="n">
        <f aca="false">E16^2</f>
        <v>0.276676</v>
      </c>
    </row>
    <row r="17" customFormat="false" ht="18" hidden="false" customHeight="true" outlineLevel="0" collapsed="false">
      <c r="A17" s="12"/>
      <c r="B17" s="9" t="s">
        <v>4</v>
      </c>
      <c r="C17" s="13" t="n">
        <f aca="false">'Scaled Feature Values'!E3</f>
        <v>-1.1901</v>
      </c>
      <c r="D17" s="14" t="n">
        <f aca="false">'Scaled Feature Values'!E5</f>
        <v>-0.5283</v>
      </c>
      <c r="E17" s="14" t="n">
        <f aca="false">C17-D17</f>
        <v>-0.6618</v>
      </c>
      <c r="F17" s="15" t="n">
        <f aca="false">E17^2</f>
        <v>0.43797924</v>
      </c>
    </row>
    <row r="18" customFormat="false" ht="18" hidden="false" customHeight="true" outlineLevel="0" collapsed="false">
      <c r="A18" s="12"/>
      <c r="B18" s="6" t="s">
        <v>5</v>
      </c>
      <c r="C18" s="16" t="n">
        <f aca="false">'Scaled Feature Values'!F3</f>
        <v>0.443</v>
      </c>
      <c r="D18" s="17" t="n">
        <f aca="false">'Scaled Feature Values'!F5</f>
        <v>-0.0123</v>
      </c>
      <c r="E18" s="17" t="n">
        <f aca="false">C18-D18</f>
        <v>0.4553</v>
      </c>
      <c r="F18" s="18" t="n">
        <f aca="false">E18^2</f>
        <v>0.20729809</v>
      </c>
    </row>
    <row r="19" customFormat="false" ht="18" hidden="false" customHeight="true" outlineLevel="0" collapsed="false">
      <c r="A19" s="12"/>
      <c r="B19" s="9" t="s">
        <v>6</v>
      </c>
      <c r="C19" s="13" t="n">
        <f aca="false">'Scaled Feature Values'!G3</f>
        <v>0.5714</v>
      </c>
      <c r="D19" s="14" t="n">
        <f aca="false">'Scaled Feature Values'!G5</f>
        <v>-0.1815</v>
      </c>
      <c r="E19" s="14" t="n">
        <f aca="false">C19-D19</f>
        <v>0.7529</v>
      </c>
      <c r="F19" s="15" t="n">
        <f aca="false">E19^2</f>
        <v>0.56685841</v>
      </c>
    </row>
    <row r="20" customFormat="false" ht="18" hidden="false" customHeight="true" outlineLevel="0" collapsed="false">
      <c r="A20" s="12"/>
      <c r="B20" s="6" t="s">
        <v>7</v>
      </c>
      <c r="C20" s="16" t="n">
        <f aca="false">'Scaled Feature Values'!H3</f>
        <v>0.2248</v>
      </c>
      <c r="D20" s="17" t="n">
        <f aca="false">'Scaled Feature Values'!H5</f>
        <v>0.0502</v>
      </c>
      <c r="E20" s="17" t="n">
        <f aca="false">C20-D20</f>
        <v>0.1746</v>
      </c>
      <c r="F20" s="18" t="n">
        <f aca="false">E20^2</f>
        <v>0.03048516</v>
      </c>
    </row>
    <row r="21" customFormat="false" ht="18" hidden="false" customHeight="true" outlineLevel="0" collapsed="false">
      <c r="A21" s="12"/>
      <c r="B21" s="9" t="s">
        <v>8</v>
      </c>
      <c r="C21" s="13" t="n">
        <f aca="false">'Scaled Feature Values'!I3</f>
        <v>-0.1265</v>
      </c>
      <c r="D21" s="14" t="n">
        <f aca="false">'Scaled Feature Values'!I5</f>
        <v>-0.6459</v>
      </c>
      <c r="E21" s="14" t="n">
        <f aca="false">C21-D21</f>
        <v>0.5194</v>
      </c>
      <c r="F21" s="15" t="n">
        <f aca="false">E21^2</f>
        <v>0.26977636</v>
      </c>
    </row>
    <row r="22" customFormat="false" ht="18" hidden="false" customHeight="true" outlineLevel="0" collapsed="false">
      <c r="A22" s="12"/>
      <c r="B22" s="6" t="s">
        <v>9</v>
      </c>
      <c r="C22" s="16" t="n">
        <f aca="false">'Scaled Feature Values'!J3</f>
        <v>0.8304</v>
      </c>
      <c r="D22" s="17" t="n">
        <f aca="false">'Scaled Feature Values'!J5</f>
        <v>0.7453</v>
      </c>
      <c r="E22" s="17" t="n">
        <f aca="false">C22-D22</f>
        <v>0.0851000000000001</v>
      </c>
      <c r="F22" s="18" t="n">
        <f aca="false">E22^2</f>
        <v>0.00724201000000001</v>
      </c>
    </row>
    <row r="23" customFormat="false" ht="19.5" hidden="false" customHeight="true" outlineLevel="0" collapsed="false">
      <c r="A23" s="19" t="s">
        <v>34</v>
      </c>
      <c r="B23" s="19"/>
      <c r="C23" s="19"/>
      <c r="D23" s="19"/>
      <c r="E23" s="19"/>
      <c r="F23" s="20" t="n">
        <f aca="false">SUM(F15:F22)</f>
        <v>1.88452427</v>
      </c>
    </row>
    <row r="24" customFormat="false" ht="21.75" hidden="false" customHeight="true" outlineLevel="0" collapsed="false">
      <c r="A24" s="21" t="s">
        <v>37</v>
      </c>
      <c r="B24" s="21"/>
      <c r="C24" s="21"/>
      <c r="D24" s="21"/>
      <c r="E24" s="21"/>
      <c r="F24" s="22" t="n">
        <f aca="false">SQRT(F23)</f>
        <v>1.37277976019462</v>
      </c>
    </row>
    <row r="26" customFormat="false" ht="18" hidden="false" customHeight="true" outlineLevel="0" collapsed="false">
      <c r="A26" s="23" t="s">
        <v>38</v>
      </c>
      <c r="B26" s="9" t="s">
        <v>2</v>
      </c>
      <c r="C26" s="13" t="n">
        <f aca="false">'Scaled Feature Values'!C3</f>
        <v>0.6399</v>
      </c>
      <c r="D26" s="14" t="n">
        <f aca="false">'Scaled Feature Values'!C6</f>
        <v>0.6399</v>
      </c>
      <c r="E26" s="14" t="n">
        <f aca="false">C26-D26</f>
        <v>0</v>
      </c>
      <c r="F26" s="15" t="n">
        <f aca="false">E26^2</f>
        <v>0</v>
      </c>
    </row>
    <row r="27" customFormat="false" ht="18" hidden="false" customHeight="true" outlineLevel="0" collapsed="false">
      <c r="A27" s="23"/>
      <c r="B27" s="6" t="s">
        <v>3</v>
      </c>
      <c r="C27" s="16" t="n">
        <f aca="false">'Scaled Feature Values'!D3</f>
        <v>-0.7777</v>
      </c>
      <c r="D27" s="17" t="n">
        <f aca="false">'Scaled Feature Values'!D6</f>
        <v>-0.9749</v>
      </c>
      <c r="E27" s="17" t="n">
        <f aca="false">C27-D27</f>
        <v>0.1972</v>
      </c>
      <c r="F27" s="18" t="n">
        <f aca="false">E27^2</f>
        <v>0.03888784</v>
      </c>
    </row>
    <row r="28" customFormat="false" ht="18" hidden="false" customHeight="true" outlineLevel="0" collapsed="false">
      <c r="A28" s="23"/>
      <c r="B28" s="9" t="s">
        <v>4</v>
      </c>
      <c r="C28" s="13" t="n">
        <f aca="false">'Scaled Feature Values'!E3</f>
        <v>-1.1901</v>
      </c>
      <c r="D28" s="14" t="n">
        <f aca="false">'Scaled Feature Values'!E6</f>
        <v>-0.8592</v>
      </c>
      <c r="E28" s="14" t="n">
        <f aca="false">C28-D28</f>
        <v>-0.3309</v>
      </c>
      <c r="F28" s="15" t="n">
        <f aca="false">E28^2</f>
        <v>0.10949481</v>
      </c>
    </row>
    <row r="29" customFormat="false" ht="18" hidden="false" customHeight="true" outlineLevel="0" collapsed="false">
      <c r="A29" s="23"/>
      <c r="B29" s="6" t="s">
        <v>5</v>
      </c>
      <c r="C29" s="16" t="n">
        <f aca="false">'Scaled Feature Values'!F3</f>
        <v>0.443</v>
      </c>
      <c r="D29" s="17" t="n">
        <f aca="false">'Scaled Feature Values'!F6</f>
        <v>0.3292</v>
      </c>
      <c r="E29" s="17" t="n">
        <f aca="false">C29-D29</f>
        <v>0.1138</v>
      </c>
      <c r="F29" s="18" t="n">
        <f aca="false">E29^2</f>
        <v>0.01295044</v>
      </c>
    </row>
    <row r="30" customFormat="false" ht="18" hidden="false" customHeight="true" outlineLevel="0" collapsed="false">
      <c r="A30" s="23"/>
      <c r="B30" s="9" t="s">
        <v>6</v>
      </c>
      <c r="C30" s="13" t="n">
        <f aca="false">'Scaled Feature Values'!G3</f>
        <v>0.5714</v>
      </c>
      <c r="D30" s="14" t="n">
        <f aca="false">'Scaled Feature Values'!G6</f>
        <v>-0.17</v>
      </c>
      <c r="E30" s="14" t="n">
        <f aca="false">C30-D30</f>
        <v>0.7414</v>
      </c>
      <c r="F30" s="15" t="n">
        <f aca="false">E30^2</f>
        <v>0.54967396</v>
      </c>
    </row>
    <row r="31" customFormat="false" ht="18" hidden="false" customHeight="true" outlineLevel="0" collapsed="false">
      <c r="A31" s="23"/>
      <c r="B31" s="6" t="s">
        <v>7</v>
      </c>
      <c r="C31" s="16" t="n">
        <f aca="false">'Scaled Feature Values'!H3</f>
        <v>0.2248</v>
      </c>
      <c r="D31" s="17" t="n">
        <f aca="false">'Scaled Feature Values'!H6</f>
        <v>-0.0663</v>
      </c>
      <c r="E31" s="17" t="n">
        <f aca="false">C31-D31</f>
        <v>0.2911</v>
      </c>
      <c r="F31" s="18" t="n">
        <f aca="false">E31^2</f>
        <v>0.08473921</v>
      </c>
    </row>
    <row r="32" customFormat="false" ht="18" hidden="false" customHeight="true" outlineLevel="0" collapsed="false">
      <c r="A32" s="23"/>
      <c r="B32" s="9" t="s">
        <v>8</v>
      </c>
      <c r="C32" s="13" t="n">
        <f aca="false">'Scaled Feature Values'!I3</f>
        <v>-0.1265</v>
      </c>
      <c r="D32" s="14" t="n">
        <f aca="false">'Scaled Feature Values'!I6</f>
        <v>-1.1684</v>
      </c>
      <c r="E32" s="14" t="n">
        <f aca="false">C32-D32</f>
        <v>1.0419</v>
      </c>
      <c r="F32" s="15" t="n">
        <f aca="false">E32^2</f>
        <v>1.08555561</v>
      </c>
    </row>
    <row r="33" customFormat="false" ht="18" hidden="false" customHeight="true" outlineLevel="0" collapsed="false">
      <c r="A33" s="23"/>
      <c r="B33" s="6" t="s">
        <v>9</v>
      </c>
      <c r="C33" s="16" t="n">
        <f aca="false">'Scaled Feature Values'!J3</f>
        <v>0.8304</v>
      </c>
      <c r="D33" s="17" t="n">
        <f aca="false">'Scaled Feature Values'!J6</f>
        <v>1.0856</v>
      </c>
      <c r="E33" s="17" t="n">
        <f aca="false">C33-D33</f>
        <v>-0.2552</v>
      </c>
      <c r="F33" s="18" t="n">
        <f aca="false">E33^2</f>
        <v>0.0651270399999999</v>
      </c>
    </row>
    <row r="34" customFormat="false" ht="19.5" hidden="false" customHeight="true" outlineLevel="0" collapsed="false">
      <c r="A34" s="19" t="s">
        <v>34</v>
      </c>
      <c r="B34" s="19"/>
      <c r="C34" s="19"/>
      <c r="D34" s="19"/>
      <c r="E34" s="19"/>
      <c r="F34" s="20" t="n">
        <f aca="false">SUM(F26:F33)</f>
        <v>1.94642891</v>
      </c>
    </row>
    <row r="35" customFormat="false" ht="21.75" hidden="false" customHeight="true" outlineLevel="0" collapsed="false">
      <c r="A35" s="21" t="s">
        <v>39</v>
      </c>
      <c r="B35" s="21"/>
      <c r="C35" s="21"/>
      <c r="D35" s="21"/>
      <c r="E35" s="21"/>
      <c r="F35" s="22" t="n">
        <f aca="false">SQRT(F34)</f>
        <v>1.39514476309808</v>
      </c>
    </row>
    <row r="37" customFormat="false" ht="18" hidden="false" customHeight="true" outlineLevel="0" collapsed="false">
      <c r="A37" s="12" t="s">
        <v>40</v>
      </c>
      <c r="B37" s="9" t="s">
        <v>2</v>
      </c>
      <c r="C37" s="13" t="n">
        <f aca="false">'Scaled Feature Values'!C3</f>
        <v>0.6399</v>
      </c>
      <c r="D37" s="14" t="n">
        <f aca="false">'Scaled Feature Values'!C7</f>
        <v>0.343</v>
      </c>
      <c r="E37" s="14" t="n">
        <f aca="false">C37-D37</f>
        <v>0.2969</v>
      </c>
      <c r="F37" s="15" t="n">
        <f aca="false">E37^2</f>
        <v>0.08814961</v>
      </c>
    </row>
    <row r="38" customFormat="false" ht="18" hidden="false" customHeight="true" outlineLevel="0" collapsed="false">
      <c r="A38" s="12"/>
      <c r="B38" s="6" t="s">
        <v>3</v>
      </c>
      <c r="C38" s="16" t="n">
        <f aca="false">'Scaled Feature Values'!D3</f>
        <v>-0.7777</v>
      </c>
      <c r="D38" s="17" t="n">
        <f aca="false">'Scaled Feature Values'!D7</f>
        <v>-0.2847</v>
      </c>
      <c r="E38" s="17" t="n">
        <f aca="false">C38-D38</f>
        <v>-0.493</v>
      </c>
      <c r="F38" s="18" t="n">
        <f aca="false">E38^2</f>
        <v>0.243049</v>
      </c>
    </row>
    <row r="39" customFormat="false" ht="18" hidden="false" customHeight="true" outlineLevel="0" collapsed="false">
      <c r="A39" s="12"/>
      <c r="B39" s="9" t="s">
        <v>4</v>
      </c>
      <c r="C39" s="13" t="n">
        <f aca="false">'Scaled Feature Values'!E3</f>
        <v>-1.1901</v>
      </c>
      <c r="D39" s="14" t="n">
        <f aca="false">'Scaled Feature Values'!E7</f>
        <v>-0.192</v>
      </c>
      <c r="E39" s="14" t="n">
        <f aca="false">C39-D39</f>
        <v>-0.9981</v>
      </c>
      <c r="F39" s="15" t="n">
        <f aca="false">E39^2</f>
        <v>0.99620361</v>
      </c>
    </row>
    <row r="40" customFormat="false" ht="18" hidden="false" customHeight="true" outlineLevel="0" collapsed="false">
      <c r="A40" s="12"/>
      <c r="B40" s="6" t="s">
        <v>5</v>
      </c>
      <c r="C40" s="16" t="n">
        <f aca="false">'Scaled Feature Values'!F3</f>
        <v>0.443</v>
      </c>
      <c r="D40" s="17" t="n">
        <f aca="false">'Scaled Feature Values'!F7</f>
        <v>0.2156</v>
      </c>
      <c r="E40" s="17" t="n">
        <f aca="false">C40-D40</f>
        <v>0.2274</v>
      </c>
      <c r="F40" s="18" t="n">
        <f aca="false">E40^2</f>
        <v>0.05171076</v>
      </c>
    </row>
    <row r="41" customFormat="false" ht="18" hidden="false" customHeight="true" outlineLevel="0" collapsed="false">
      <c r="A41" s="12"/>
      <c r="B41" s="9" t="s">
        <v>6</v>
      </c>
      <c r="C41" s="13" t="n">
        <f aca="false">'Scaled Feature Values'!G3</f>
        <v>0.5714</v>
      </c>
      <c r="D41" s="14" t="n">
        <f aca="false">'Scaled Feature Values'!G7</f>
        <v>-0.1815</v>
      </c>
      <c r="E41" s="14" t="n">
        <f aca="false">C41-D41</f>
        <v>0.7529</v>
      </c>
      <c r="F41" s="15" t="n">
        <f aca="false">E41^2</f>
        <v>0.56685841</v>
      </c>
    </row>
    <row r="42" customFormat="false" ht="18" hidden="false" customHeight="true" outlineLevel="0" collapsed="false">
      <c r="A42" s="12"/>
      <c r="B42" s="6" t="s">
        <v>7</v>
      </c>
      <c r="C42" s="16" t="n">
        <f aca="false">'Scaled Feature Values'!H3</f>
        <v>0.2248</v>
      </c>
      <c r="D42" s="17" t="n">
        <f aca="false">'Scaled Feature Values'!H7</f>
        <v>0.1376</v>
      </c>
      <c r="E42" s="17" t="n">
        <f aca="false">C42-D42</f>
        <v>0.0872</v>
      </c>
      <c r="F42" s="18" t="n">
        <f aca="false">E42^2</f>
        <v>0.00760384</v>
      </c>
    </row>
    <row r="43" customFormat="false" ht="18" hidden="false" customHeight="true" outlineLevel="0" collapsed="false">
      <c r="A43" s="12"/>
      <c r="B43" s="9" t="s">
        <v>8</v>
      </c>
      <c r="C43" s="13" t="n">
        <f aca="false">'Scaled Feature Values'!I3</f>
        <v>-0.1265</v>
      </c>
      <c r="D43" s="14" t="n">
        <f aca="false">'Scaled Feature Values'!I7</f>
        <v>-0.4559</v>
      </c>
      <c r="E43" s="14" t="n">
        <f aca="false">C43-D43</f>
        <v>0.3294</v>
      </c>
      <c r="F43" s="15" t="n">
        <f aca="false">E43^2</f>
        <v>0.10850436</v>
      </c>
    </row>
    <row r="44" customFormat="false" ht="18" hidden="false" customHeight="true" outlineLevel="0" collapsed="false">
      <c r="A44" s="12"/>
      <c r="B44" s="6" t="s">
        <v>9</v>
      </c>
      <c r="C44" s="16" t="n">
        <f aca="false">'Scaled Feature Values'!J3</f>
        <v>0.8304</v>
      </c>
      <c r="D44" s="17" t="n">
        <f aca="false">'Scaled Feature Values'!J7</f>
        <v>0.5751</v>
      </c>
      <c r="E44" s="17" t="n">
        <f aca="false">C44-D44</f>
        <v>0.2553</v>
      </c>
      <c r="F44" s="18" t="n">
        <f aca="false">E44^2</f>
        <v>0.06517809</v>
      </c>
    </row>
    <row r="45" customFormat="false" ht="19.5" hidden="false" customHeight="true" outlineLevel="0" collapsed="false">
      <c r="A45" s="19" t="s">
        <v>34</v>
      </c>
      <c r="B45" s="19"/>
      <c r="C45" s="19"/>
      <c r="D45" s="19"/>
      <c r="E45" s="19"/>
      <c r="F45" s="20" t="n">
        <f aca="false">SUM(F37:F44)</f>
        <v>2.12725768</v>
      </c>
    </row>
    <row r="46" customFormat="false" ht="21.75" hidden="false" customHeight="true" outlineLevel="0" collapsed="false">
      <c r="A46" s="21" t="s">
        <v>41</v>
      </c>
      <c r="B46" s="21"/>
      <c r="C46" s="21"/>
      <c r="D46" s="21"/>
      <c r="E46" s="21"/>
      <c r="F46" s="22" t="n">
        <f aca="false">SQRT(F45)</f>
        <v>1.45851214598988</v>
      </c>
    </row>
    <row r="48" customFormat="false" ht="18" hidden="false" customHeight="true" outlineLevel="0" collapsed="false">
      <c r="A48" s="12" t="s">
        <v>42</v>
      </c>
      <c r="B48" s="9" t="s">
        <v>2</v>
      </c>
      <c r="C48" s="13" t="n">
        <f aca="false">'Scaled Feature Values'!C3</f>
        <v>0.6399</v>
      </c>
      <c r="D48" s="14" t="n">
        <f aca="false">'Scaled Feature Values'!C8</f>
        <v>0.6399</v>
      </c>
      <c r="E48" s="14" t="n">
        <f aca="false">C48-D48</f>
        <v>0</v>
      </c>
      <c r="F48" s="15" t="n">
        <f aca="false">E48^2</f>
        <v>0</v>
      </c>
    </row>
    <row r="49" customFormat="false" ht="18" hidden="false" customHeight="true" outlineLevel="0" collapsed="false">
      <c r="A49" s="12"/>
      <c r="B49" s="6" t="s">
        <v>3</v>
      </c>
      <c r="C49" s="16" t="n">
        <f aca="false">'Scaled Feature Values'!D3</f>
        <v>-0.7777</v>
      </c>
      <c r="D49" s="17" t="n">
        <f aca="false">'Scaled Feature Values'!D8</f>
        <v>-0.4823</v>
      </c>
      <c r="E49" s="17" t="n">
        <f aca="false">C49-D49</f>
        <v>-0.2954</v>
      </c>
      <c r="F49" s="18" t="n">
        <f aca="false">E49^2</f>
        <v>0.08726116</v>
      </c>
    </row>
    <row r="50" customFormat="false" ht="18" hidden="false" customHeight="true" outlineLevel="0" collapsed="false">
      <c r="A50" s="12"/>
      <c r="B50" s="9" t="s">
        <v>4</v>
      </c>
      <c r="C50" s="13" t="n">
        <f aca="false">'Scaled Feature Values'!E3</f>
        <v>-1.1901</v>
      </c>
      <c r="D50" s="14" t="n">
        <f aca="false">'Scaled Feature Values'!E8</f>
        <v>-0.692</v>
      </c>
      <c r="E50" s="14" t="n">
        <f aca="false">C50-D50</f>
        <v>-0.4981</v>
      </c>
      <c r="F50" s="15" t="n">
        <f aca="false">E50^2</f>
        <v>0.24810361</v>
      </c>
    </row>
    <row r="51" customFormat="false" ht="18" hidden="false" customHeight="true" outlineLevel="0" collapsed="false">
      <c r="A51" s="12"/>
      <c r="B51" s="6" t="s">
        <v>5</v>
      </c>
      <c r="C51" s="16" t="n">
        <f aca="false">'Scaled Feature Values'!F3</f>
        <v>0.443</v>
      </c>
      <c r="D51" s="17" t="n">
        <f aca="false">'Scaled Feature Values'!F8</f>
        <v>0.6696</v>
      </c>
      <c r="E51" s="17" t="n">
        <f aca="false">C51-D51</f>
        <v>-0.2266</v>
      </c>
      <c r="F51" s="18" t="n">
        <f aca="false">E51^2</f>
        <v>0.05134756</v>
      </c>
    </row>
    <row r="52" customFormat="false" ht="18" hidden="false" customHeight="true" outlineLevel="0" collapsed="false">
      <c r="A52" s="12"/>
      <c r="B52" s="9" t="s">
        <v>6</v>
      </c>
      <c r="C52" s="13" t="n">
        <f aca="false">'Scaled Feature Values'!G3</f>
        <v>0.5714</v>
      </c>
      <c r="D52" s="14" t="n">
        <f aca="false">'Scaled Feature Values'!G8</f>
        <v>0.5714</v>
      </c>
      <c r="E52" s="14" t="n">
        <f aca="false">C52-D52</f>
        <v>0</v>
      </c>
      <c r="F52" s="15" t="n">
        <f aca="false">E52^2</f>
        <v>0</v>
      </c>
    </row>
    <row r="53" customFormat="false" ht="18" hidden="false" customHeight="true" outlineLevel="0" collapsed="false">
      <c r="A53" s="12"/>
      <c r="B53" s="6" t="s">
        <v>7</v>
      </c>
      <c r="C53" s="16" t="n">
        <f aca="false">'Scaled Feature Values'!H3</f>
        <v>0.2248</v>
      </c>
      <c r="D53" s="17" t="n">
        <f aca="false">'Scaled Feature Values'!H8</f>
        <v>0.471</v>
      </c>
      <c r="E53" s="17" t="n">
        <f aca="false">C53-D53</f>
        <v>-0.2462</v>
      </c>
      <c r="F53" s="18" t="n">
        <f aca="false">E53^2</f>
        <v>0.06061444</v>
      </c>
    </row>
    <row r="54" customFormat="false" ht="18" hidden="false" customHeight="true" outlineLevel="0" collapsed="false">
      <c r="A54" s="12"/>
      <c r="B54" s="9" t="s">
        <v>8</v>
      </c>
      <c r="C54" s="13" t="n">
        <f aca="false">'Scaled Feature Values'!I3</f>
        <v>-0.1265</v>
      </c>
      <c r="D54" s="14" t="n">
        <f aca="false">'Scaled Feature Values'!I8</f>
        <v>-0.3553</v>
      </c>
      <c r="E54" s="14" t="n">
        <f aca="false">C54-D54</f>
        <v>0.2288</v>
      </c>
      <c r="F54" s="15" t="n">
        <f aca="false">E54^2</f>
        <v>0.05234944</v>
      </c>
    </row>
    <row r="55" customFormat="false" ht="18" hidden="false" customHeight="true" outlineLevel="0" collapsed="false">
      <c r="A55" s="12"/>
      <c r="B55" s="6" t="s">
        <v>9</v>
      </c>
      <c r="C55" s="16" t="n">
        <f aca="false">'Scaled Feature Values'!J3</f>
        <v>0.8304</v>
      </c>
      <c r="D55" s="17" t="n">
        <f aca="false">'Scaled Feature Values'!J8</f>
        <v>0.5751</v>
      </c>
      <c r="E55" s="17" t="n">
        <f aca="false">C55-D55</f>
        <v>0.2553</v>
      </c>
      <c r="F55" s="18" t="n">
        <f aca="false">E55^2</f>
        <v>0.06517809</v>
      </c>
    </row>
    <row r="56" customFormat="false" ht="19.5" hidden="false" customHeight="true" outlineLevel="0" collapsed="false">
      <c r="A56" s="19" t="s">
        <v>34</v>
      </c>
      <c r="B56" s="19"/>
      <c r="C56" s="19"/>
      <c r="D56" s="19"/>
      <c r="E56" s="19"/>
      <c r="F56" s="20" t="n">
        <f aca="false">SUM(F48:F55)</f>
        <v>0.5648543</v>
      </c>
    </row>
    <row r="57" customFormat="false" ht="21.75" hidden="false" customHeight="true" outlineLevel="0" collapsed="false">
      <c r="A57" s="21" t="s">
        <v>43</v>
      </c>
      <c r="B57" s="21"/>
      <c r="C57" s="21"/>
      <c r="D57" s="21"/>
      <c r="E57" s="21"/>
      <c r="F57" s="22" t="n">
        <f aca="false">SQRT(F56)</f>
        <v>0.751567894471285</v>
      </c>
    </row>
    <row r="59" customFormat="false" ht="18" hidden="false" customHeight="true" outlineLevel="0" collapsed="false">
      <c r="A59" s="23" t="s">
        <v>44</v>
      </c>
      <c r="B59" s="9" t="s">
        <v>2</v>
      </c>
      <c r="C59" s="13" t="n">
        <f aca="false">'Scaled Feature Values'!C3</f>
        <v>0.6399</v>
      </c>
      <c r="D59" s="14" t="n">
        <f aca="false">'Scaled Feature Values'!C9</f>
        <v>0.6399</v>
      </c>
      <c r="E59" s="14" t="n">
        <f aca="false">C59-D59</f>
        <v>0</v>
      </c>
      <c r="F59" s="15" t="n">
        <f aca="false">E59^2</f>
        <v>0</v>
      </c>
    </row>
    <row r="60" customFormat="false" ht="18" hidden="false" customHeight="true" outlineLevel="0" collapsed="false">
      <c r="A60" s="23"/>
      <c r="B60" s="6" t="s">
        <v>3</v>
      </c>
      <c r="C60" s="16" t="n">
        <f aca="false">'Scaled Feature Values'!D3</f>
        <v>-0.7777</v>
      </c>
      <c r="D60" s="17" t="n">
        <f aca="false">'Scaled Feature Values'!D9</f>
        <v>-0.4823</v>
      </c>
      <c r="E60" s="17" t="n">
        <f aca="false">C60-D60</f>
        <v>-0.2954</v>
      </c>
      <c r="F60" s="18" t="n">
        <f aca="false">E60^2</f>
        <v>0.08726116</v>
      </c>
    </row>
    <row r="61" customFormat="false" ht="18" hidden="false" customHeight="true" outlineLevel="0" collapsed="false">
      <c r="A61" s="23"/>
      <c r="B61" s="9" t="s">
        <v>4</v>
      </c>
      <c r="C61" s="13" t="n">
        <f aca="false">'Scaled Feature Values'!E3</f>
        <v>-1.1901</v>
      </c>
      <c r="D61" s="14" t="n">
        <f aca="false">'Scaled Feature Values'!E9</f>
        <v>-0.3556</v>
      </c>
      <c r="E61" s="14" t="n">
        <f aca="false">C61-D61</f>
        <v>-0.8345</v>
      </c>
      <c r="F61" s="15" t="n">
        <f aca="false">E61^2</f>
        <v>0.69639025</v>
      </c>
    </row>
    <row r="62" customFormat="false" ht="18" hidden="false" customHeight="true" outlineLevel="0" collapsed="false">
      <c r="A62" s="23"/>
      <c r="B62" s="6" t="s">
        <v>5</v>
      </c>
      <c r="C62" s="16" t="n">
        <f aca="false">'Scaled Feature Values'!F3</f>
        <v>0.443</v>
      </c>
      <c r="D62" s="17" t="n">
        <f aca="false">'Scaled Feature Values'!F9</f>
        <v>0.443</v>
      </c>
      <c r="E62" s="17" t="n">
        <f aca="false">C62-D62</f>
        <v>0</v>
      </c>
      <c r="F62" s="18" t="n">
        <f aca="false">E62^2</f>
        <v>0</v>
      </c>
    </row>
    <row r="63" customFormat="false" ht="18" hidden="false" customHeight="true" outlineLevel="0" collapsed="false">
      <c r="A63" s="23"/>
      <c r="B63" s="9" t="s">
        <v>6</v>
      </c>
      <c r="C63" s="13" t="n">
        <f aca="false">'Scaled Feature Values'!G3</f>
        <v>0.5714</v>
      </c>
      <c r="D63" s="14" t="n">
        <f aca="false">'Scaled Feature Values'!G9</f>
        <v>0.5714</v>
      </c>
      <c r="E63" s="14" t="n">
        <f aca="false">C63-D63</f>
        <v>0</v>
      </c>
      <c r="F63" s="15" t="n">
        <f aca="false">E63^2</f>
        <v>0</v>
      </c>
    </row>
    <row r="64" customFormat="false" ht="18" hidden="false" customHeight="true" outlineLevel="0" collapsed="false">
      <c r="A64" s="23"/>
      <c r="B64" s="6" t="s">
        <v>7</v>
      </c>
      <c r="C64" s="16" t="n">
        <f aca="false">'Scaled Feature Values'!H3</f>
        <v>0.2248</v>
      </c>
      <c r="D64" s="17" t="n">
        <f aca="false">'Scaled Feature Values'!H9</f>
        <v>0.6581</v>
      </c>
      <c r="E64" s="17" t="n">
        <f aca="false">C64-D64</f>
        <v>-0.4333</v>
      </c>
      <c r="F64" s="18" t="n">
        <f aca="false">E64^2</f>
        <v>0.18774889</v>
      </c>
    </row>
    <row r="65" customFormat="false" ht="18" hidden="false" customHeight="true" outlineLevel="0" collapsed="false">
      <c r="A65" s="23"/>
      <c r="B65" s="9" t="s">
        <v>8</v>
      </c>
      <c r="C65" s="13" t="n">
        <f aca="false">'Scaled Feature Values'!I3</f>
        <v>-0.1265</v>
      </c>
      <c r="D65" s="14" t="n">
        <f aca="false">'Scaled Feature Values'!I9</f>
        <v>-0.8754</v>
      </c>
      <c r="E65" s="14" t="n">
        <f aca="false">C65-D65</f>
        <v>0.7489</v>
      </c>
      <c r="F65" s="15" t="n">
        <f aca="false">E65^2</f>
        <v>0.56085121</v>
      </c>
    </row>
    <row r="66" customFormat="false" ht="18" hidden="false" customHeight="true" outlineLevel="0" collapsed="false">
      <c r="A66" s="23"/>
      <c r="B66" s="6" t="s">
        <v>9</v>
      </c>
      <c r="C66" s="16" t="n">
        <f aca="false">'Scaled Feature Values'!J3</f>
        <v>0.8304</v>
      </c>
      <c r="D66" s="17" t="n">
        <f aca="false">'Scaled Feature Values'!J9</f>
        <v>0.43</v>
      </c>
      <c r="E66" s="17" t="n">
        <f aca="false">C66-D66</f>
        <v>0.4004</v>
      </c>
      <c r="F66" s="18" t="n">
        <f aca="false">E66^2</f>
        <v>0.16032016</v>
      </c>
    </row>
    <row r="67" customFormat="false" ht="19.5" hidden="false" customHeight="true" outlineLevel="0" collapsed="false">
      <c r="A67" s="19" t="s">
        <v>34</v>
      </c>
      <c r="B67" s="19"/>
      <c r="C67" s="19"/>
      <c r="D67" s="19"/>
      <c r="E67" s="19"/>
      <c r="F67" s="20" t="n">
        <f aca="false">SUM(F59:F66)</f>
        <v>1.69257167</v>
      </c>
    </row>
    <row r="68" customFormat="false" ht="21.75" hidden="false" customHeight="true" outlineLevel="0" collapsed="false">
      <c r="A68" s="21" t="s">
        <v>45</v>
      </c>
      <c r="B68" s="21"/>
      <c r="C68" s="21"/>
      <c r="D68" s="21"/>
      <c r="E68" s="21"/>
      <c r="F68" s="22" t="n">
        <f aca="false">SQRT(F67)</f>
        <v>1.30098872785278</v>
      </c>
    </row>
    <row r="70" customFormat="false" ht="18" hidden="false" customHeight="true" outlineLevel="0" collapsed="false">
      <c r="A70" s="12" t="s">
        <v>46</v>
      </c>
      <c r="B70" s="9" t="s">
        <v>2</v>
      </c>
      <c r="C70" s="13" t="n">
        <f aca="false">'Scaled Feature Values'!C3</f>
        <v>0.6399</v>
      </c>
      <c r="D70" s="14" t="n">
        <f aca="false">'Scaled Feature Values'!C10</f>
        <v>0.343</v>
      </c>
      <c r="E70" s="14" t="n">
        <f aca="false">C70-D70</f>
        <v>0.2969</v>
      </c>
      <c r="F70" s="15" t="n">
        <f aca="false">E70^2</f>
        <v>0.08814961</v>
      </c>
    </row>
    <row r="71" customFormat="false" ht="18" hidden="false" customHeight="true" outlineLevel="0" collapsed="false">
      <c r="A71" s="12"/>
      <c r="B71" s="6" t="s">
        <v>3</v>
      </c>
      <c r="C71" s="16" t="n">
        <f aca="false">'Scaled Feature Values'!D3</f>
        <v>-0.7777</v>
      </c>
      <c r="D71" s="17" t="n">
        <f aca="false">'Scaled Feature Values'!D10</f>
        <v>-0.613</v>
      </c>
      <c r="E71" s="17" t="n">
        <f aca="false">C71-D71</f>
        <v>-0.1647</v>
      </c>
      <c r="F71" s="18" t="n">
        <f aca="false">E71^2</f>
        <v>0.02712609</v>
      </c>
    </row>
    <row r="72" customFormat="false" ht="18" hidden="false" customHeight="true" outlineLevel="0" collapsed="false">
      <c r="A72" s="12"/>
      <c r="B72" s="9" t="s">
        <v>4</v>
      </c>
      <c r="C72" s="13" t="n">
        <f aca="false">'Scaled Feature Values'!E3</f>
        <v>-1.1901</v>
      </c>
      <c r="D72" s="14" t="n">
        <f aca="false">'Scaled Feature Values'!E10</f>
        <v>-0.3556</v>
      </c>
      <c r="E72" s="14" t="n">
        <f aca="false">C72-D72</f>
        <v>-0.8345</v>
      </c>
      <c r="F72" s="15" t="n">
        <f aca="false">E72^2</f>
        <v>0.69639025</v>
      </c>
    </row>
    <row r="73" customFormat="false" ht="18" hidden="false" customHeight="true" outlineLevel="0" collapsed="false">
      <c r="A73" s="12"/>
      <c r="B73" s="6" t="s">
        <v>5</v>
      </c>
      <c r="C73" s="16" t="n">
        <f aca="false">'Scaled Feature Values'!F3</f>
        <v>0.443</v>
      </c>
      <c r="D73" s="17" t="n">
        <f aca="false">'Scaled Feature Values'!F10</f>
        <v>0.5563</v>
      </c>
      <c r="E73" s="17" t="n">
        <f aca="false">C73-D73</f>
        <v>-0.1133</v>
      </c>
      <c r="F73" s="18" t="n">
        <f aca="false">E73^2</f>
        <v>0.01283689</v>
      </c>
    </row>
    <row r="74" customFormat="false" ht="18" hidden="false" customHeight="true" outlineLevel="0" collapsed="false">
      <c r="A74" s="12"/>
      <c r="B74" s="9" t="s">
        <v>6</v>
      </c>
      <c r="C74" s="13" t="n">
        <f aca="false">'Scaled Feature Values'!G3</f>
        <v>0.5714</v>
      </c>
      <c r="D74" s="14" t="n">
        <f aca="false">'Scaled Feature Values'!G10</f>
        <v>-0.207</v>
      </c>
      <c r="E74" s="14" t="n">
        <f aca="false">C74-D74</f>
        <v>0.7784</v>
      </c>
      <c r="F74" s="15" t="n">
        <f aca="false">E74^2</f>
        <v>0.60590656</v>
      </c>
    </row>
    <row r="75" customFormat="false" ht="18" hidden="false" customHeight="true" outlineLevel="0" collapsed="false">
      <c r="A75" s="12"/>
      <c r="B75" s="6" t="s">
        <v>7</v>
      </c>
      <c r="C75" s="16" t="n">
        <f aca="false">'Scaled Feature Values'!H3</f>
        <v>0.2248</v>
      </c>
      <c r="D75" s="17" t="n">
        <f aca="false">'Scaled Feature Values'!H10</f>
        <v>0.3565</v>
      </c>
      <c r="E75" s="17" t="n">
        <f aca="false">C75-D75</f>
        <v>-0.1317</v>
      </c>
      <c r="F75" s="18" t="n">
        <f aca="false">E75^2</f>
        <v>0.01734489</v>
      </c>
    </row>
    <row r="76" customFormat="false" ht="18" hidden="false" customHeight="true" outlineLevel="0" collapsed="false">
      <c r="A76" s="12"/>
      <c r="B76" s="9" t="s">
        <v>8</v>
      </c>
      <c r="C76" s="13" t="n">
        <f aca="false">'Scaled Feature Values'!I3</f>
        <v>-0.1265</v>
      </c>
      <c r="D76" s="14" t="n">
        <f aca="false">'Scaled Feature Values'!I10</f>
        <v>-0.8037</v>
      </c>
      <c r="E76" s="14" t="n">
        <f aca="false">C76-D76</f>
        <v>0.6772</v>
      </c>
      <c r="F76" s="15" t="n">
        <f aca="false">E76^2</f>
        <v>0.45859984</v>
      </c>
    </row>
    <row r="77" customFormat="false" ht="18" hidden="false" customHeight="true" outlineLevel="0" collapsed="false">
      <c r="A77" s="12"/>
      <c r="B77" s="6" t="s">
        <v>9</v>
      </c>
      <c r="C77" s="16" t="n">
        <f aca="false">'Scaled Feature Values'!J3</f>
        <v>0.8304</v>
      </c>
      <c r="D77" s="17" t="n">
        <f aca="false">'Scaled Feature Values'!J10</f>
        <v>0.5751</v>
      </c>
      <c r="E77" s="17" t="n">
        <f aca="false">C77-D77</f>
        <v>0.2553</v>
      </c>
      <c r="F77" s="18" t="n">
        <f aca="false">E77^2</f>
        <v>0.06517809</v>
      </c>
    </row>
    <row r="78" customFormat="false" ht="19.5" hidden="false" customHeight="true" outlineLevel="0" collapsed="false">
      <c r="A78" s="19" t="s">
        <v>34</v>
      </c>
      <c r="B78" s="19"/>
      <c r="C78" s="19"/>
      <c r="D78" s="19"/>
      <c r="E78" s="19"/>
      <c r="F78" s="20" t="n">
        <f aca="false">SUM(F70:F77)</f>
        <v>1.97153222</v>
      </c>
    </row>
    <row r="79" customFormat="false" ht="21.75" hidden="false" customHeight="true" outlineLevel="0" collapsed="false">
      <c r="A79" s="21" t="s">
        <v>47</v>
      </c>
      <c r="B79" s="21"/>
      <c r="C79" s="21"/>
      <c r="D79" s="21"/>
      <c r="E79" s="21"/>
      <c r="F79" s="22" t="n">
        <f aca="false">SQRT(F78)</f>
        <v>1.40411260944413</v>
      </c>
    </row>
    <row r="81" customFormat="false" ht="18" hidden="false" customHeight="true" outlineLevel="0" collapsed="false">
      <c r="A81" s="23" t="s">
        <v>48</v>
      </c>
      <c r="B81" s="9" t="s">
        <v>2</v>
      </c>
      <c r="C81" s="13" t="n">
        <f aca="false">'Scaled Feature Values'!C3</f>
        <v>0.6399</v>
      </c>
      <c r="D81" s="14" t="n">
        <f aca="false">'Scaled Feature Values'!C11</f>
        <v>0.6399</v>
      </c>
      <c r="E81" s="14" t="n">
        <f aca="false">C81-D81</f>
        <v>0</v>
      </c>
      <c r="F81" s="15" t="n">
        <f aca="false">E81^2</f>
        <v>0</v>
      </c>
    </row>
    <row r="82" customFormat="false" ht="18" hidden="false" customHeight="true" outlineLevel="0" collapsed="false">
      <c r="A82" s="23"/>
      <c r="B82" s="6" t="s">
        <v>3</v>
      </c>
      <c r="C82" s="16" t="n">
        <f aca="false">'Scaled Feature Values'!D3</f>
        <v>-0.7777</v>
      </c>
      <c r="D82" s="17" t="n">
        <f aca="false">'Scaled Feature Values'!D11</f>
        <v>-0.3516</v>
      </c>
      <c r="E82" s="17" t="n">
        <f aca="false">C82-D82</f>
        <v>-0.4261</v>
      </c>
      <c r="F82" s="18" t="n">
        <f aca="false">E82^2</f>
        <v>0.18156121</v>
      </c>
    </row>
    <row r="83" customFormat="false" ht="18" hidden="false" customHeight="true" outlineLevel="0" collapsed="false">
      <c r="A83" s="23"/>
      <c r="B83" s="9" t="s">
        <v>4</v>
      </c>
      <c r="C83" s="13" t="n">
        <f aca="false">'Scaled Feature Values'!E3</f>
        <v>-1.1901</v>
      </c>
      <c r="D83" s="14" t="n">
        <f aca="false">'Scaled Feature Values'!E11</f>
        <v>-0.5283</v>
      </c>
      <c r="E83" s="14" t="n">
        <f aca="false">C83-D83</f>
        <v>-0.6618</v>
      </c>
      <c r="F83" s="15" t="n">
        <f aca="false">E83^2</f>
        <v>0.43797924</v>
      </c>
    </row>
    <row r="84" customFormat="false" ht="18" hidden="false" customHeight="true" outlineLevel="0" collapsed="false">
      <c r="A84" s="23"/>
      <c r="B84" s="6" t="s">
        <v>5</v>
      </c>
      <c r="C84" s="16" t="n">
        <f aca="false">'Scaled Feature Values'!F3</f>
        <v>0.443</v>
      </c>
      <c r="D84" s="17" t="n">
        <f aca="false">'Scaled Feature Values'!F11</f>
        <v>0.6696</v>
      </c>
      <c r="E84" s="17" t="n">
        <f aca="false">C84-D84</f>
        <v>-0.2266</v>
      </c>
      <c r="F84" s="18" t="n">
        <f aca="false">E84^2</f>
        <v>0.05134756</v>
      </c>
    </row>
    <row r="85" customFormat="false" ht="18" hidden="false" customHeight="true" outlineLevel="0" collapsed="false">
      <c r="A85" s="23"/>
      <c r="B85" s="9" t="s">
        <v>6</v>
      </c>
      <c r="C85" s="13" t="n">
        <f aca="false">'Scaled Feature Values'!G3</f>
        <v>0.5714</v>
      </c>
      <c r="D85" s="14" t="n">
        <f aca="false">'Scaled Feature Values'!G11</f>
        <v>-0.1815</v>
      </c>
      <c r="E85" s="14" t="n">
        <f aca="false">C85-D85</f>
        <v>0.7529</v>
      </c>
      <c r="F85" s="15" t="n">
        <f aca="false">E85^2</f>
        <v>0.56685841</v>
      </c>
    </row>
    <row r="86" customFormat="false" ht="18" hidden="false" customHeight="true" outlineLevel="0" collapsed="false">
      <c r="A86" s="23"/>
      <c r="B86" s="6" t="s">
        <v>7</v>
      </c>
      <c r="C86" s="16" t="n">
        <f aca="false">'Scaled Feature Values'!H3</f>
        <v>0.2248</v>
      </c>
      <c r="D86" s="17" t="n">
        <f aca="false">'Scaled Feature Values'!H11</f>
        <v>0.4284</v>
      </c>
      <c r="E86" s="17" t="n">
        <f aca="false">C86-D86</f>
        <v>-0.2036</v>
      </c>
      <c r="F86" s="18" t="n">
        <f aca="false">E86^2</f>
        <v>0.04145296</v>
      </c>
    </row>
    <row r="87" customFormat="false" ht="18" hidden="false" customHeight="true" outlineLevel="0" collapsed="false">
      <c r="A87" s="23"/>
      <c r="B87" s="9" t="s">
        <v>8</v>
      </c>
      <c r="C87" s="13" t="n">
        <f aca="false">'Scaled Feature Values'!I3</f>
        <v>-0.1265</v>
      </c>
      <c r="D87" s="14" t="n">
        <f aca="false">'Scaled Feature Values'!I11</f>
        <v>-0.2546</v>
      </c>
      <c r="E87" s="14" t="n">
        <f aca="false">C87-D87</f>
        <v>0.1281</v>
      </c>
      <c r="F87" s="15" t="n">
        <f aca="false">E87^2</f>
        <v>0.01640961</v>
      </c>
    </row>
    <row r="88" customFormat="false" ht="18" hidden="false" customHeight="true" outlineLevel="0" collapsed="false">
      <c r="A88" s="23"/>
      <c r="B88" s="6" t="s">
        <v>9</v>
      </c>
      <c r="C88" s="16" t="n">
        <f aca="false">'Scaled Feature Values'!J3</f>
        <v>0.8304</v>
      </c>
      <c r="D88" s="17" t="n">
        <f aca="false">'Scaled Feature Values'!J11</f>
        <v>1.0856</v>
      </c>
      <c r="E88" s="17" t="n">
        <f aca="false">C88-D88</f>
        <v>-0.2552</v>
      </c>
      <c r="F88" s="18" t="n">
        <f aca="false">E88^2</f>
        <v>0.0651270399999999</v>
      </c>
    </row>
    <row r="89" customFormat="false" ht="19.5" hidden="false" customHeight="true" outlineLevel="0" collapsed="false">
      <c r="A89" s="19" t="s">
        <v>34</v>
      </c>
      <c r="B89" s="19"/>
      <c r="C89" s="19"/>
      <c r="D89" s="19"/>
      <c r="E89" s="19"/>
      <c r="F89" s="20" t="n">
        <f aca="false">SUM(F81:F88)</f>
        <v>1.36073603</v>
      </c>
    </row>
    <row r="90" customFormat="false" ht="21.75" hidden="false" customHeight="true" outlineLevel="0" collapsed="false">
      <c r="A90" s="21" t="s">
        <v>49</v>
      </c>
      <c r="B90" s="21"/>
      <c r="C90" s="21"/>
      <c r="D90" s="21"/>
      <c r="E90" s="21"/>
      <c r="F90" s="22" t="n">
        <f aca="false">SQRT(F89)</f>
        <v>1.16650590654313</v>
      </c>
    </row>
    <row r="92" customFormat="false" ht="18" hidden="false" customHeight="true" outlineLevel="0" collapsed="false">
      <c r="A92" s="23" t="s">
        <v>50</v>
      </c>
      <c r="B92" s="9" t="s">
        <v>2</v>
      </c>
      <c r="C92" s="13" t="n">
        <f aca="false">'Scaled Feature Values'!C3</f>
        <v>0.6399</v>
      </c>
      <c r="D92" s="14" t="n">
        <f aca="false">'Scaled Feature Values'!C12</f>
        <v>0.6399</v>
      </c>
      <c r="E92" s="14" t="n">
        <f aca="false">C92-D92</f>
        <v>0</v>
      </c>
      <c r="F92" s="15" t="n">
        <f aca="false">E92^2</f>
        <v>0</v>
      </c>
    </row>
    <row r="93" customFormat="false" ht="18" hidden="false" customHeight="true" outlineLevel="0" collapsed="false">
      <c r="A93" s="23"/>
      <c r="B93" s="6" t="s">
        <v>3</v>
      </c>
      <c r="C93" s="16" t="n">
        <f aca="false">'Scaled Feature Values'!D3</f>
        <v>-0.7777</v>
      </c>
      <c r="D93" s="17" t="n">
        <f aca="false">'Scaled Feature Values'!D12</f>
        <v>-0.9091</v>
      </c>
      <c r="E93" s="17" t="n">
        <f aca="false">C93-D93</f>
        <v>0.1314</v>
      </c>
      <c r="F93" s="18" t="n">
        <f aca="false">E93^2</f>
        <v>0.01726596</v>
      </c>
    </row>
    <row r="94" customFormat="false" ht="18" hidden="false" customHeight="true" outlineLevel="0" collapsed="false">
      <c r="A94" s="23"/>
      <c r="B94" s="9" t="s">
        <v>4</v>
      </c>
      <c r="C94" s="13" t="n">
        <f aca="false">'Scaled Feature Values'!E3</f>
        <v>-1.1901</v>
      </c>
      <c r="D94" s="14" t="n">
        <f aca="false">'Scaled Feature Values'!E12</f>
        <v>-1.1901</v>
      </c>
      <c r="E94" s="14" t="n">
        <f aca="false">C94-D94</f>
        <v>0</v>
      </c>
      <c r="F94" s="15" t="n">
        <f aca="false">E94^2</f>
        <v>0</v>
      </c>
    </row>
    <row r="95" customFormat="false" ht="18" hidden="false" customHeight="true" outlineLevel="0" collapsed="false">
      <c r="A95" s="23"/>
      <c r="B95" s="6" t="s">
        <v>5</v>
      </c>
      <c r="C95" s="16" t="n">
        <f aca="false">'Scaled Feature Values'!F3</f>
        <v>0.443</v>
      </c>
      <c r="D95" s="17" t="n">
        <f aca="false">'Scaled Feature Values'!F12</f>
        <v>0.443</v>
      </c>
      <c r="E95" s="17" t="n">
        <f aca="false">C95-D95</f>
        <v>0</v>
      </c>
      <c r="F95" s="18" t="n">
        <f aca="false">E95^2</f>
        <v>0</v>
      </c>
    </row>
    <row r="96" customFormat="false" ht="18" hidden="false" customHeight="true" outlineLevel="0" collapsed="false">
      <c r="A96" s="23"/>
      <c r="B96" s="9" t="s">
        <v>6</v>
      </c>
      <c r="C96" s="13" t="n">
        <f aca="false">'Scaled Feature Values'!G3</f>
        <v>0.5714</v>
      </c>
      <c r="D96" s="14" t="n">
        <f aca="false">'Scaled Feature Values'!G12</f>
        <v>0.5714</v>
      </c>
      <c r="E96" s="14" t="n">
        <f aca="false">C96-D96</f>
        <v>0</v>
      </c>
      <c r="F96" s="15" t="n">
        <f aca="false">E96^2</f>
        <v>0</v>
      </c>
    </row>
    <row r="97" customFormat="false" ht="18" hidden="false" customHeight="true" outlineLevel="0" collapsed="false">
      <c r="A97" s="23"/>
      <c r="B97" s="6" t="s">
        <v>7</v>
      </c>
      <c r="C97" s="16" t="n">
        <f aca="false">'Scaled Feature Values'!H3</f>
        <v>0.2248</v>
      </c>
      <c r="D97" s="17" t="n">
        <f aca="false">'Scaled Feature Values'!H12</f>
        <v>0.3565</v>
      </c>
      <c r="E97" s="17" t="n">
        <f aca="false">C97-D97</f>
        <v>-0.1317</v>
      </c>
      <c r="F97" s="18" t="n">
        <f aca="false">E97^2</f>
        <v>0.01734489</v>
      </c>
    </row>
    <row r="98" customFormat="false" ht="18" hidden="false" customHeight="true" outlineLevel="0" collapsed="false">
      <c r="A98" s="23"/>
      <c r="B98" s="9" t="s">
        <v>8</v>
      </c>
      <c r="C98" s="13" t="n">
        <f aca="false">'Scaled Feature Values'!I3</f>
        <v>-0.1265</v>
      </c>
      <c r="D98" s="14" t="n">
        <f aca="false">'Scaled Feature Values'!I12</f>
        <v>-0.5841</v>
      </c>
      <c r="E98" s="14" t="n">
        <f aca="false">C98-D98</f>
        <v>0.4576</v>
      </c>
      <c r="F98" s="15" t="n">
        <f aca="false">E98^2</f>
        <v>0.20939776</v>
      </c>
    </row>
    <row r="99" customFormat="false" ht="18" hidden="false" customHeight="true" outlineLevel="0" collapsed="false">
      <c r="A99" s="23"/>
      <c r="B99" s="6" t="s">
        <v>9</v>
      </c>
      <c r="C99" s="16" t="n">
        <f aca="false">'Scaled Feature Values'!J3</f>
        <v>0.8304</v>
      </c>
      <c r="D99" s="17" t="n">
        <f aca="false">'Scaled Feature Values'!J12</f>
        <v>0.7453</v>
      </c>
      <c r="E99" s="17" t="n">
        <f aca="false">C99-D99</f>
        <v>0.0851000000000001</v>
      </c>
      <c r="F99" s="18" t="n">
        <f aca="false">E99^2</f>
        <v>0.00724201000000001</v>
      </c>
    </row>
    <row r="100" customFormat="false" ht="19.5" hidden="false" customHeight="true" outlineLevel="0" collapsed="false">
      <c r="A100" s="19" t="s">
        <v>34</v>
      </c>
      <c r="B100" s="19"/>
      <c r="C100" s="19"/>
      <c r="D100" s="19"/>
      <c r="E100" s="19"/>
      <c r="F100" s="20" t="n">
        <f aca="false">SUM(F92:F99)</f>
        <v>0.25125062</v>
      </c>
    </row>
    <row r="101" customFormat="false" ht="21.75" hidden="false" customHeight="true" outlineLevel="0" collapsed="false">
      <c r="A101" s="21" t="s">
        <v>51</v>
      </c>
      <c r="B101" s="21"/>
      <c r="C101" s="21"/>
      <c r="D101" s="21"/>
      <c r="E101" s="21"/>
      <c r="F101" s="22" t="n">
        <f aca="false">SQRT(F100)</f>
        <v>0.501249059849492</v>
      </c>
    </row>
    <row r="103" customFormat="false" ht="18" hidden="false" customHeight="true" outlineLevel="0" collapsed="false">
      <c r="A103" s="12" t="s">
        <v>52</v>
      </c>
      <c r="B103" s="9" t="s">
        <v>2</v>
      </c>
      <c r="C103" s="13" t="n">
        <f aca="false">'Scaled Feature Values'!C3</f>
        <v>0.6399</v>
      </c>
      <c r="D103" s="14" t="n">
        <f aca="false">'Scaled Feature Values'!C13</f>
        <v>0.6399</v>
      </c>
      <c r="E103" s="14" t="n">
        <f aca="false">C103-D103</f>
        <v>0</v>
      </c>
      <c r="F103" s="15" t="n">
        <f aca="false">E103^2</f>
        <v>0</v>
      </c>
    </row>
    <row r="104" customFormat="false" ht="18" hidden="false" customHeight="true" outlineLevel="0" collapsed="false">
      <c r="A104" s="12"/>
      <c r="B104" s="6" t="s">
        <v>3</v>
      </c>
      <c r="C104" s="16" t="n">
        <f aca="false">'Scaled Feature Values'!D3</f>
        <v>-0.7777</v>
      </c>
      <c r="D104" s="17" t="n">
        <f aca="false">'Scaled Feature Values'!D13</f>
        <v>-0.5152</v>
      </c>
      <c r="E104" s="17" t="n">
        <f aca="false">C104-D104</f>
        <v>-0.2625</v>
      </c>
      <c r="F104" s="18" t="n">
        <f aca="false">E104^2</f>
        <v>0.06890625</v>
      </c>
    </row>
    <row r="105" customFormat="false" ht="18" hidden="false" customHeight="true" outlineLevel="0" collapsed="false">
      <c r="A105" s="12"/>
      <c r="B105" s="9" t="s">
        <v>4</v>
      </c>
      <c r="C105" s="13" t="n">
        <f aca="false">'Scaled Feature Values'!E3</f>
        <v>-1.1901</v>
      </c>
      <c r="D105" s="14" t="n">
        <f aca="false">'Scaled Feature Values'!E13</f>
        <v>-0.5283</v>
      </c>
      <c r="E105" s="14" t="n">
        <f aca="false">C105-D105</f>
        <v>-0.6618</v>
      </c>
      <c r="F105" s="15" t="n">
        <f aca="false">E105^2</f>
        <v>0.43797924</v>
      </c>
    </row>
    <row r="106" customFormat="false" ht="18" hidden="false" customHeight="true" outlineLevel="0" collapsed="false">
      <c r="A106" s="12"/>
      <c r="B106" s="6" t="s">
        <v>5</v>
      </c>
      <c r="C106" s="16" t="n">
        <f aca="false">'Scaled Feature Values'!F3</f>
        <v>0.443</v>
      </c>
      <c r="D106" s="17" t="n">
        <f aca="false">'Scaled Feature Values'!F13</f>
        <v>0.443</v>
      </c>
      <c r="E106" s="17" t="n">
        <f aca="false">C106-D106</f>
        <v>0</v>
      </c>
      <c r="F106" s="18" t="n">
        <f aca="false">E106^2</f>
        <v>0</v>
      </c>
    </row>
    <row r="107" customFormat="false" ht="18" hidden="false" customHeight="true" outlineLevel="0" collapsed="false">
      <c r="A107" s="12"/>
      <c r="B107" s="9" t="s">
        <v>6</v>
      </c>
      <c r="C107" s="13" t="n">
        <f aca="false">'Scaled Feature Values'!G3</f>
        <v>0.5714</v>
      </c>
      <c r="D107" s="14" t="n">
        <f aca="false">'Scaled Feature Values'!G13</f>
        <v>-0.056</v>
      </c>
      <c r="E107" s="14" t="n">
        <f aca="false">C107-D107</f>
        <v>0.6274</v>
      </c>
      <c r="F107" s="15" t="n">
        <f aca="false">E107^2</f>
        <v>0.39363076</v>
      </c>
    </row>
    <row r="108" customFormat="false" ht="18" hidden="false" customHeight="true" outlineLevel="0" collapsed="false">
      <c r="A108" s="12"/>
      <c r="B108" s="6" t="s">
        <v>7</v>
      </c>
      <c r="C108" s="16" t="n">
        <f aca="false">'Scaled Feature Values'!H3</f>
        <v>0.2248</v>
      </c>
      <c r="D108" s="17" t="n">
        <f aca="false">'Scaled Feature Values'!H13</f>
        <v>0.094</v>
      </c>
      <c r="E108" s="17" t="n">
        <f aca="false">C108-D108</f>
        <v>0.1308</v>
      </c>
      <c r="F108" s="18" t="n">
        <f aca="false">E108^2</f>
        <v>0.01710864</v>
      </c>
    </row>
    <row r="109" customFormat="false" ht="18" hidden="false" customHeight="true" outlineLevel="0" collapsed="false">
      <c r="A109" s="12"/>
      <c r="B109" s="9" t="s">
        <v>8</v>
      </c>
      <c r="C109" s="13" t="n">
        <f aca="false">'Scaled Feature Values'!I3</f>
        <v>-0.1265</v>
      </c>
      <c r="D109" s="14" t="n">
        <f aca="false">'Scaled Feature Values'!I13</f>
        <v>-0.5841</v>
      </c>
      <c r="E109" s="14" t="n">
        <f aca="false">C109-D109</f>
        <v>0.4576</v>
      </c>
      <c r="F109" s="15" t="n">
        <f aca="false">E109^2</f>
        <v>0.20939776</v>
      </c>
    </row>
    <row r="110" customFormat="false" ht="18" hidden="false" customHeight="true" outlineLevel="0" collapsed="false">
      <c r="A110" s="12"/>
      <c r="B110" s="6" t="s">
        <v>9</v>
      </c>
      <c r="C110" s="16" t="n">
        <f aca="false">'Scaled Feature Values'!J3</f>
        <v>0.8304</v>
      </c>
      <c r="D110" s="17" t="n">
        <f aca="false">'Scaled Feature Values'!J13</f>
        <v>1.0856</v>
      </c>
      <c r="E110" s="17" t="n">
        <f aca="false">C110-D110</f>
        <v>-0.2552</v>
      </c>
      <c r="F110" s="18" t="n">
        <f aca="false">E110^2</f>
        <v>0.0651270399999999</v>
      </c>
    </row>
    <row r="111" customFormat="false" ht="19.5" hidden="false" customHeight="true" outlineLevel="0" collapsed="false">
      <c r="A111" s="19" t="s">
        <v>34</v>
      </c>
      <c r="B111" s="19"/>
      <c r="C111" s="19"/>
      <c r="D111" s="19"/>
      <c r="E111" s="19"/>
      <c r="F111" s="20" t="n">
        <f aca="false">SUM(F103:F110)</f>
        <v>1.19214969</v>
      </c>
    </row>
    <row r="112" customFormat="false" ht="21.75" hidden="false" customHeight="true" outlineLevel="0" collapsed="false">
      <c r="A112" s="21" t="s">
        <v>53</v>
      </c>
      <c r="B112" s="21"/>
      <c r="C112" s="21"/>
      <c r="D112" s="21"/>
      <c r="E112" s="21"/>
      <c r="F112" s="22" t="n">
        <f aca="false">SQRT(F111)</f>
        <v>1.09185607568031</v>
      </c>
    </row>
  </sheetData>
  <mergeCells count="22">
    <mergeCell ref="A1:F1"/>
    <mergeCell ref="A2:F2"/>
    <mergeCell ref="A12:E12"/>
    <mergeCell ref="A13:E13"/>
    <mergeCell ref="A23:E23"/>
    <mergeCell ref="A24:E24"/>
    <mergeCell ref="A34:E34"/>
    <mergeCell ref="A35:E35"/>
    <mergeCell ref="A45:E45"/>
    <mergeCell ref="A46:E46"/>
    <mergeCell ref="A56:E56"/>
    <mergeCell ref="A57:E57"/>
    <mergeCell ref="A67:E67"/>
    <mergeCell ref="A68:E68"/>
    <mergeCell ref="A78:E78"/>
    <mergeCell ref="A79:E79"/>
    <mergeCell ref="A89:E89"/>
    <mergeCell ref="A90:E90"/>
    <mergeCell ref="A100:E100"/>
    <mergeCell ref="A101:E101"/>
    <mergeCell ref="A111:E111"/>
    <mergeCell ref="A112:E1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65"/>
    <col collapsed="false" customWidth="true" hidden="false" outlineLevel="0" max="4" min="4" style="0" width="12"/>
  </cols>
  <sheetData>
    <row r="1" customFormat="false" ht="27.75" hidden="false" customHeight="true" outlineLevel="0" collapsed="false">
      <c r="A1" s="1" t="s">
        <v>54</v>
      </c>
      <c r="B1" s="1"/>
      <c r="C1" s="1"/>
      <c r="D1" s="1"/>
    </row>
    <row r="2" customFormat="false" ht="18" hidden="false" customHeight="true" outlineLevel="0" collapsed="false">
      <c r="A2" s="24" t="s">
        <v>55</v>
      </c>
      <c r="B2" s="24"/>
      <c r="C2" s="24"/>
      <c r="D2" s="24"/>
    </row>
    <row r="3" customFormat="false" ht="24" hidden="false" customHeight="true" outlineLevel="0" collapsed="false">
      <c r="A3" s="2" t="s">
        <v>56</v>
      </c>
      <c r="B3" s="2" t="s">
        <v>57</v>
      </c>
      <c r="C3" s="2" t="s">
        <v>58</v>
      </c>
      <c r="D3" s="2" t="s">
        <v>59</v>
      </c>
    </row>
    <row r="4" customFormat="false" ht="21.75" hidden="false" customHeight="true" outlineLevel="0" collapsed="false">
      <c r="A4" s="6" t="n">
        <v>1</v>
      </c>
      <c r="B4" s="6" t="s">
        <v>14</v>
      </c>
      <c r="C4" s="25" t="s">
        <v>60</v>
      </c>
      <c r="D4" s="26" t="n">
        <f aca="false">SQRT((0.6399-(0.6399))^2+(-0.7777-(-0.2188))^2+(-1.1901-(-1.0246))^2+(0.443-(1.1259))^2+(0.5714-(-0.1815))^2+(0.2248-(0.1812))^2+(-0.1265-(-0.6852))^2+(0.8304-(0.5751))^2)</f>
        <v>1.32370503511923</v>
      </c>
    </row>
    <row r="5" customFormat="false" ht="21.75" hidden="false" customHeight="true" outlineLevel="0" collapsed="false">
      <c r="A5" s="9" t="n">
        <v>2</v>
      </c>
      <c r="B5" s="9" t="s">
        <v>16</v>
      </c>
      <c r="C5" s="27" t="s">
        <v>61</v>
      </c>
      <c r="D5" s="26" t="n">
        <f aca="false">SQRT((0.6399-(0.9369))^2+(-0.7777-(-0.2517))^2+(-1.1901-(-0.5283))^2+(0.443-(-0.0123))^2+(0.5714-(-0.1815))^2+(0.2248-(0.0502))^2+(-0.1265-(-0.6459))^2+(0.8304-(0.7453))^2)</f>
        <v>1.37277976019462</v>
      </c>
    </row>
    <row r="6" customFormat="false" ht="21.75" hidden="false" customHeight="true" outlineLevel="0" collapsed="false">
      <c r="A6" s="6" t="n">
        <v>3</v>
      </c>
      <c r="B6" s="6" t="s">
        <v>17</v>
      </c>
      <c r="C6" s="25" t="s">
        <v>62</v>
      </c>
      <c r="D6" s="22" t="n">
        <f aca="false">SQRT((0.6399-(0.6399))^2+(-0.7777-(-0.9749))^2+(-1.1901-(-0.8592))^2+(0.443-(0.3292))^2+(0.5714-(-0.17))^2+(0.2248-(-0.0663))^2+(-0.1265-(-1.1684))^2+(0.8304-(1.0856))^2)</f>
        <v>1.39514476309808</v>
      </c>
    </row>
    <row r="7" customFormat="false" ht="21.75" hidden="false" customHeight="true" outlineLevel="0" collapsed="false">
      <c r="A7" s="9" t="n">
        <v>4</v>
      </c>
      <c r="B7" s="9" t="s">
        <v>18</v>
      </c>
      <c r="C7" s="27" t="s">
        <v>63</v>
      </c>
      <c r="D7" s="26" t="n">
        <f aca="false">SQRT((0.6399-(0.343))^2+(-0.7777-(-0.2847))^2+(-1.1901-(-0.192))^2+(0.443-(0.2156))^2+(0.5714-(-0.1815))^2+(0.2248-(0.1376))^2+(-0.1265-(-0.4559))^2+(0.8304-(0.5751))^2)</f>
        <v>1.45851214598988</v>
      </c>
    </row>
    <row r="8" customFormat="false" ht="21.75" hidden="false" customHeight="true" outlineLevel="0" collapsed="false">
      <c r="A8" s="6" t="n">
        <v>5</v>
      </c>
      <c r="B8" s="6" t="s">
        <v>19</v>
      </c>
      <c r="C8" s="25" t="s">
        <v>64</v>
      </c>
      <c r="D8" s="26" t="n">
        <f aca="false">SQRT((0.6399-(0.6399))^2+(-0.7777-(-0.4823))^2+(-1.1901-(-0.692))^2+(0.443-(0.6696))^2+(0.5714-(0.5714))^2+(0.2248-(0.471))^2+(-0.1265-(-0.3553))^2+(0.8304-(0.5751))^2)</f>
        <v>0.751567894471285</v>
      </c>
    </row>
    <row r="9" customFormat="false" ht="21.75" hidden="false" customHeight="true" outlineLevel="0" collapsed="false">
      <c r="A9" s="9" t="n">
        <v>6</v>
      </c>
      <c r="B9" s="9" t="s">
        <v>20</v>
      </c>
      <c r="C9" s="27" t="s">
        <v>65</v>
      </c>
      <c r="D9" s="22" t="n">
        <f aca="false">SQRT((0.6399-(0.6399))^2+(-0.7777-(-0.4823))^2+(-1.1901-(-0.3556))^2+(0.443-(0.443))^2+(0.5714-(0.5714))^2+(0.2248-(0.6581))^2+(-0.1265-(-0.8754))^2+(0.8304-(0.43))^2)</f>
        <v>1.30098872785278</v>
      </c>
    </row>
    <row r="10" customFormat="false" ht="21.75" hidden="false" customHeight="true" outlineLevel="0" collapsed="false">
      <c r="A10" s="6" t="n">
        <v>7</v>
      </c>
      <c r="B10" s="6" t="s">
        <v>21</v>
      </c>
      <c r="C10" s="25" t="s">
        <v>66</v>
      </c>
      <c r="D10" s="26" t="n">
        <f aca="false">SQRT((0.6399-(0.343))^2+(-0.7777-(-0.613))^2+(-1.1901-(-0.3556))^2+(0.443-(0.5563))^2+(0.5714-(-0.207))^2+(0.2248-(0.3565))^2+(-0.1265-(-0.8037))^2+(0.8304-(0.5751))^2)</f>
        <v>1.40411260944413</v>
      </c>
    </row>
    <row r="11" customFormat="false" ht="21.75" hidden="false" customHeight="true" outlineLevel="0" collapsed="false">
      <c r="A11" s="9" t="n">
        <v>8</v>
      </c>
      <c r="B11" s="9" t="s">
        <v>22</v>
      </c>
      <c r="C11" s="27" t="s">
        <v>67</v>
      </c>
      <c r="D11" s="22" t="n">
        <f aca="false">SQRT((0.6399-(0.6399))^2+(-0.7777-(-0.3516))^2+(-1.1901-(-0.5283))^2+(0.443-(0.6696))^2+(0.5714-(-0.1815))^2+(0.2248-(0.4284))^2+(-0.1265-(-0.2546))^2+(0.8304-(1.0856))^2)</f>
        <v>1.16650590654313</v>
      </c>
    </row>
    <row r="12" customFormat="false" ht="21.75" hidden="false" customHeight="true" outlineLevel="0" collapsed="false">
      <c r="A12" s="6" t="n">
        <v>9</v>
      </c>
      <c r="B12" s="6" t="s">
        <v>23</v>
      </c>
      <c r="C12" s="25" t="s">
        <v>68</v>
      </c>
      <c r="D12" s="22" t="n">
        <f aca="false">SQRT((0.6399-(0.6399))^2+(-0.7777-(-0.9091))^2+(-1.1901-(-1.1901))^2+(0.443-(0.443))^2+(0.5714-(0.5714))^2+(0.2248-(0.3565))^2+(-0.1265-(-0.5841))^2+(0.8304-(0.7453))^2)</f>
        <v>0.501249059849492</v>
      </c>
    </row>
    <row r="13" customFormat="false" ht="21.75" hidden="false" customHeight="true" outlineLevel="0" collapsed="false">
      <c r="A13" s="9" t="n">
        <v>10</v>
      </c>
      <c r="B13" s="9" t="s">
        <v>24</v>
      </c>
      <c r="C13" s="27" t="s">
        <v>69</v>
      </c>
      <c r="D13" s="26" t="n">
        <f aca="false">SQRT((0.6399-(0.6399))^2+(-0.7777-(-0.5152))^2+(-1.1901-(-0.5283))^2+(0.443-(0.443))^2+(0.5714-(-0.056))^2+(0.2248-(0.094))^2+(-0.1265-(-0.5841))^2+(0.8304-(1.0856))^2)</f>
        <v>1.09185607568031</v>
      </c>
    </row>
    <row r="15" customFormat="false" ht="24" hidden="false" customHeight="true" outlineLevel="0" collapsed="false">
      <c r="A15" s="28" t="s">
        <v>70</v>
      </c>
      <c r="B15" s="28"/>
      <c r="C15" s="28"/>
      <c r="D15" s="28"/>
    </row>
  </sheetData>
  <mergeCells count="3">
    <mergeCell ref="A1:D1"/>
    <mergeCell ref="A2:D2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5"/>
    <col collapsed="false" customWidth="true" hidden="false" outlineLevel="0" max="6" min="3" style="0" width="8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27.75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</row>
    <row r="2" customFormat="false" ht="24" hidden="false" customHeight="true" outlineLevel="0" collapsed="false">
      <c r="A2" s="2" t="s">
        <v>72</v>
      </c>
      <c r="B2" s="2" t="s">
        <v>73</v>
      </c>
      <c r="C2" s="2" t="s">
        <v>74</v>
      </c>
      <c r="D2" s="2" t="s">
        <v>75</v>
      </c>
      <c r="E2" s="2" t="s">
        <v>76</v>
      </c>
      <c r="F2" s="2" t="s">
        <v>77</v>
      </c>
      <c r="G2" s="2" t="s">
        <v>78</v>
      </c>
      <c r="H2" s="2" t="s">
        <v>79</v>
      </c>
    </row>
    <row r="3" customFormat="false" ht="19.5" hidden="false" customHeight="true" outlineLevel="0" collapsed="false">
      <c r="A3" s="29" t="n">
        <v>3</v>
      </c>
      <c r="B3" s="30" t="n">
        <f aca="false">D3/(C3+D3+E3+F3)</f>
        <v>0.162337662337662</v>
      </c>
      <c r="C3" s="29" t="n">
        <v>74</v>
      </c>
      <c r="D3" s="29" t="n">
        <v>25</v>
      </c>
      <c r="E3" s="29" t="n">
        <v>20</v>
      </c>
      <c r="F3" s="29" t="n">
        <v>35</v>
      </c>
      <c r="G3" s="31" t="n">
        <f aca="false">F3/(F3+D3)</f>
        <v>0.583333333333333</v>
      </c>
      <c r="H3" s="31" t="n">
        <f aca="false">F3/(F3+E3)</f>
        <v>0.636363636363636</v>
      </c>
    </row>
    <row r="4" customFormat="false" ht="19.5" hidden="false" customHeight="true" outlineLevel="0" collapsed="false">
      <c r="A4" s="32" t="n">
        <v>5</v>
      </c>
      <c r="B4" s="33" t="n">
        <f aca="false">D4/(C4+D4+E4+F4)</f>
        <v>0.155844155844156</v>
      </c>
      <c r="C4" s="32" t="n">
        <v>75</v>
      </c>
      <c r="D4" s="32" t="n">
        <v>24</v>
      </c>
      <c r="E4" s="32" t="n">
        <v>17</v>
      </c>
      <c r="F4" s="32" t="n">
        <v>38</v>
      </c>
      <c r="G4" s="34" t="n">
        <f aca="false">F4/(F4+D4)</f>
        <v>0.612903225806452</v>
      </c>
      <c r="H4" s="34" t="n">
        <f aca="false">F4/(F4+E4)</f>
        <v>0.690909090909091</v>
      </c>
    </row>
    <row r="5" customFormat="false" ht="19.5" hidden="false" customHeight="true" outlineLevel="0" collapsed="false">
      <c r="A5" s="29" t="n">
        <v>7</v>
      </c>
      <c r="B5" s="30" t="n">
        <f aca="false">D5/(C5+D5+E5+F5)</f>
        <v>0.162337662337662</v>
      </c>
      <c r="C5" s="29" t="n">
        <v>74</v>
      </c>
      <c r="D5" s="29" t="n">
        <v>25</v>
      </c>
      <c r="E5" s="29" t="n">
        <v>19</v>
      </c>
      <c r="F5" s="29" t="n">
        <v>36</v>
      </c>
      <c r="G5" s="31" t="n">
        <f aca="false">F5/(F5+D5)</f>
        <v>0.59016393442623</v>
      </c>
      <c r="H5" s="31" t="n">
        <f aca="false">F5/(F5+E5)</f>
        <v>0.654545454545455</v>
      </c>
    </row>
    <row r="6" customFormat="false" ht="19.5" hidden="false" customHeight="true" outlineLevel="0" collapsed="false">
      <c r="A6" s="35" t="s">
        <v>80</v>
      </c>
      <c r="B6" s="36" t="n">
        <v>0.7532</v>
      </c>
      <c r="C6" s="37" t="s">
        <v>81</v>
      </c>
      <c r="D6" s="37" t="s">
        <v>81</v>
      </c>
      <c r="E6" s="37" t="s">
        <v>81</v>
      </c>
      <c r="F6" s="37" t="s">
        <v>81</v>
      </c>
      <c r="G6" s="37" t="s">
        <v>81</v>
      </c>
      <c r="H6" s="37" t="s">
        <v>81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2026-04-25T14:26:48Z</dcterms:created>
  <dc:creator>openpyxl</dc:creator>
  <dc:description/>
  <dc:language>en-US</dc:language>
  <cp:lastModifiedBy/>
  <dcterms:modified xsi:type="dcterms:W3CDTF">2026-04-25T14:26:48Z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